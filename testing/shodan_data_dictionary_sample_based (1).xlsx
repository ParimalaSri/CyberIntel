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Dictionary" sheetId="1" state="visible" r:id="rId3"/>
    <sheet name="Sub-fields Observed" sheetId="2" state="visible" r:id="rId4"/>
    <sheet name="Row-Level Checks" sheetId="3" state="visible" r:id="rId5"/>
    <sheet name="Sample Profile" sheetId="4" state="visible" r:id="rId6"/>
    <sheet name="Notes" sheetId="5" state="visible" r:id="rId7"/>
    <sheet name="Sources" sheetId="6" state="visible" r:id="rId8"/>
    <sheet name="Platform Use Summary" sheetId="7" state="visible" r:id="rId9"/>
  </sheets>
  <definedNames>
    <definedName function="false" hidden="true" localSheetId="0" name="_xlnm._FilterDatabase" vbProcedure="false">'Data Dictionary'!$A$1:$Q$63</definedName>
    <definedName function="false" hidden="true" localSheetId="2" name="_xlnm._FilterDatabase" vbProcedure="false">'Row-Level Checks'!$A$1:$D$12</definedName>
    <definedName function="false" hidden="true" localSheetId="1" name="_xlnm._FilterDatabase" vbProcedure="false">'Sub-fields Observed'!$A$1:$I$25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<sst xmlns="http://schemas.openxmlformats.org/spreadsheetml/2006/main" count="1131" uniqueCount="533">
  <si>
    <t xml:space="preserve">Field</t>
  </si>
  <si>
    <t xml:space="preserve">Type (from schema)</t>
  </si>
  <si>
    <t xml:space="preserve">Populated in sample (of 10)</t>
  </si>
  <si>
    <t xml:space="preserve">Max length in sample (chars)</t>
  </si>
  <si>
    <t xml:space="preserve">Example value(s) from sample</t>
  </si>
  <si>
    <t xml:space="preserve">Description (based on sample only)</t>
  </si>
  <si>
    <t xml:space="preserve">Status</t>
  </si>
  <si>
    <t xml:space="preserve">Data quality checks (sample-driven)</t>
  </si>
  <si>
    <t xml:space="preserve">Excel formula example (text)</t>
  </si>
  <si>
    <t xml:space="preserve">Description from public sources (only for fields not seen in sample)</t>
  </si>
  <si>
    <t xml:space="preserve">Source link</t>
  </si>
  <si>
    <t xml:space="preserve">Basis of description</t>
  </si>
  <si>
    <t xml:space="preserve">Confidence</t>
  </si>
  <si>
    <t xml:space="preserve">Used in sales intelligence platform? (Yes / Partial / No)</t>
  </si>
  <si>
    <t xml:space="preserve">Platform stage (Identify / Prioritise / Target)</t>
  </si>
  <si>
    <t xml:space="preserve">How it helps (if Yes or Partial)</t>
  </si>
  <si>
    <t xml:space="preserve">Reason not used (if No)</t>
  </si>
  <si>
    <t xml:space="preserve">data</t>
  </si>
  <si>
    <t xml:space="preserve">VARCHAR</t>
  </si>
  <si>
    <t xml:space="preserve">HTTP/1.1 400 Bad Request Server: nginx Date: Mon, 14 Sep 2... | HTTP/1.1 403 Forbidden Content-Length:0   | HTTP/1.1 200 OK Date: Mon, 14 Sep 2026 12:01:50 GMT Server...</t>
  </si>
  <si>
    <t xml:space="preserve">Raw text response (banner) received from the service. In the sample it holds HTTP response headers (status line, Server, Date, Content-Type...) or an SSH banner string. Null in 5 of 10 rows.</t>
  </si>
  <si>
    <t xml:space="preserve">Observed in sample</t>
  </si>
  <si>
    <t xml:space="preserve">Null is common (5/10) so track % null by port/module; when null, hash is 0.0 (see hash); check HTTP banners start with 'HTTP/'; SSH row stores backslash-r backslash-n as literal characters while HTTP rows contain real CR/LF - standardize; length max 923 in sample, keep under Excel's 32,767 limit.</t>
  </si>
  <si>
    <t xml:space="preserve">=COUNTBLANK(A2:A11)  |  =IF(A2="","",LEFT(A2,5)="HTTP/")</t>
  </si>
  <si>
    <t xml:space="preserve">n/a - described from sample</t>
  </si>
  <si>
    <t xml:space="preserve">Partial</t>
  </si>
  <si>
    <t xml:space="preserve">Prioritise</t>
  </si>
  <si>
    <t xml:space="preserve">Raw banner is the evidence behind other fields; mine it for software name/version when product/version are null.</t>
  </si>
  <si>
    <t xml:space="preserve">opts</t>
  </si>
  <si>
    <t xml:space="preserve">MAP(VARCHAR, JSON)</t>
  </si>
  <si>
    <t xml:space="preserve">{} | {'raw': '"5353482d35382d496e677269616e5f5353480d0a"'}</t>
  </si>
  <si>
    <t xml:space="preserve">Map of extra key/values. Empty {} in 9 of 10 rows (empty, not null); one row has key 'raw' holding a hex string that decodes to the same SSH banner shown in data.</t>
  </si>
  <si>
    <t xml:space="preserve">Never null in sample; treat {} as 'no options'; if key 'raw' present it should be valid hex (even length, 0-9a-f).</t>
  </si>
  <si>
    <t xml:space="preserve">=A2="{}"</t>
  </si>
  <si>
    <t xml:space="preserve">No</t>
  </si>
  <si>
    <t xml:space="preserve">Experimental/raw data (a hex string in the sample) with no business meaning; not finalized into a stable field.</t>
  </si>
  <si>
    <t xml:space="preserve">port</t>
  </si>
  <si>
    <t xml:space="preserve">BIGINT</t>
  </si>
  <si>
    <t xml:space="preserve">15123 | 8008 | 53</t>
  </si>
  <si>
    <t xml:space="preserve">Port number of the service on the IP. Sample values: 15123, 8008, 53, 12304, 7171, 48012, 80, 7171, 12304, 44818 (includes high, non-standard ports).</t>
  </si>
  <si>
    <t xml:space="preserve">Not null; integer 1-65535; do not assume standard ports - sample has many unusual ones; check port vs _shodan.module (e.g. port 53 -&gt; dns-tcp, 80 -&gt; http, 7171 -&gt; tibia in sample).</t>
  </si>
  <si>
    <t xml:space="preserve">=AND(ISNUMBER(A2),A2=INT(A2),A2&gt;=1,A2&lt;=65535)</t>
  </si>
  <si>
    <t xml:space="preserve">Yes</t>
  </si>
  <si>
    <t xml:space="preserve">Shows which services are exposed to the internet. Ports such as RDP, SMB, databases and Redis raise risk and urgency.</t>
  </si>
  <si>
    <t xml:space="preserve">hostnames</t>
  </si>
  <si>
    <t xml:space="preserve">VARCHAR[]</t>
  </si>
  <si>
    <t xml:space="preserve">[] | ['193.64.79.136.bc.googleusercontent.com'] | ['ip-137-66-8-132.customer.flyio.net']</t>
  </si>
  <si>
    <t xml:space="preserve">Reverse-DNS hostnames for the IP, stored as a list. In the CSV it is the text form ['name'] ; empty list [] in 4 of 10 rows, 1 name in 6 rows (e.g. *.bc.googleusercontent.com, 77-163-107-27.fixed.kpn.net).</t>
  </si>
  <si>
    <t xml:space="preserve">Never null but can be '[]' (4/10) - treat '[]' as empty; list text begins '[' and ends ']'; hostnames usually embed the IP in sample - optional cross-check; domains should be suffix of hostname.</t>
  </si>
  <si>
    <t xml:space="preserve">=AND(LEFT(A2,1)="[",RIGHT(A2,1)="]")  |  =A2="[]"</t>
  </si>
  <si>
    <t xml:space="preserve">Identify</t>
  </si>
  <si>
    <t xml:space="preserve">Reverse-DNS names link an IP to a company or hosting provider (e.g. kpn.net, flyio.net in the sample).</t>
  </si>
  <si>
    <t xml:space="preserve">timestamp</t>
  </si>
  <si>
    <t xml:space="preserve">2026-09-14T09:59:27.083391 | 2026-09-14T09:59:56.544376 | 2026-09-14T09:59:58.072744</t>
  </si>
  <si>
    <t xml:space="preserve">Date-time the record was collected, text like 2026-09-14T09:59:27.083391 (ISO style, microseconds, no timezone). Sample range 2026-09-14 09:59:27 to 10:00:11.</t>
  </si>
  <si>
    <t xml:space="preserve">Not null; parse with LEFT(A2,19); not in the future; format consistent (T separator, 6-digit fraction); timezone not stated in data so do not assume. Note http.headers.date for one row (12:01:50 GMT) is later than its timestamp (09:59:34) - device clock vs scan time, review.</t>
  </si>
  <si>
    <t xml:space="preserve">=IFERROR(DATEVALUE(LEFT(A2,10))+TIMEVALUE(MID(A2,12,8)),"BAD")</t>
  </si>
  <si>
    <t xml:space="preserve">Freshness of the signal; use for recency scoring and to drop stale findings.</t>
  </si>
  <si>
    <t xml:space="preserve">domains</t>
  </si>
  <si>
    <t xml:space="preserve">[] | ['googleusercontent.com'] | ['flyio.net']</t>
  </si>
  <si>
    <t xml:space="preserve">Registered domain(s) derived from hostnames, stored as a list. [] in 4 of 10 rows; otherwise one domain (googleusercontent.com, flyio.net, kpn.net, incapdns.net).</t>
  </si>
  <si>
    <t xml:space="preserve">Empty exactly when hostnames is empty (true in all 10 sample rows); each domain should be contained in a hostname; lowercase; no scheme/path.</t>
  </si>
  <si>
    <t xml:space="preserve">=(A2="[]")=(B2="[]")  (A=domains, B=hostnames)</t>
  </si>
  <si>
    <t xml:space="preserve">Main join key to company records (firmographics, CRM). Empty in 4 of 10 sample rows, so needs fallback keys.</t>
  </si>
  <si>
    <t xml:space="preserve">location</t>
  </si>
  <si>
    <t xml:space="preserve">STRUCT</t>
  </si>
  <si>
    <t xml:space="preserve">{'area_code': None, 'city': 'Tseung Kwan O', 'country_code':... | {'area_code': None, 'city': 'Tangjin', 'country_code': 'KR',... | {'area_code': None, 'city': 'Mountain View', 'country_code':...</t>
  </si>
  <si>
    <t xml:space="preserve">IP geolocation struct with city, country_code, country_name, latitude, longitude, region_code (populated); area_code, country_code3, dma_code, postal_code were null in all 10 rows. See sub-field rows.</t>
  </si>
  <si>
    <t xml:space="preserve">Struct present 10/10; check sub-fields individually.</t>
  </si>
  <si>
    <t xml:space="preserve">=COUNTBLANK(A2:A11)</t>
  </si>
  <si>
    <t xml:space="preserve">Target</t>
  </si>
  <si>
    <t xml:space="preserve">Country/region/city for territory routing and regional targeting. See sub-fields for what is reliable.</t>
  </si>
  <si>
    <t xml:space="preserve">org</t>
  </si>
  <si>
    <t xml:space="preserve">Meteverse Limited. | Korea Telecom | Google LLC</t>
  </si>
  <si>
    <t xml:space="preserve">Organization name for the IP (e.g. Google LLC, Korea Telecom, KPN B.V., Fly.io, Inc.). Populated 10/10.</t>
  </si>
  <si>
    <t xml:space="preserve">Not null in sample; trim; naming inconsistent punctuation (e.g. 'Meteverse Limited.' with trailing period); org may differ from isp (Aliyun Computing Co., LTD vs Hangzhou Alibaba Advertising Co.,Ltd.) - do not force equality.</t>
  </si>
  <si>
    <t xml:space="preserve">=EXACT(A2,TRIM(A2))</t>
  </si>
  <si>
    <t xml:space="preserve">Organization that manages the IP; primary company-name signal. Often a cloud/ISP rather than the end customer (Google LLC in sample), so filter those out.</t>
  </si>
  <si>
    <t xml:space="preserve">isp</t>
  </si>
  <si>
    <t xml:space="preserve">Meteverse Limited. | Korea Telecom | Fly.io, Inc.</t>
  </si>
  <si>
    <t xml:space="preserve">Internet service provider name. Populated 9/10; null for the same row where asn is null.</t>
  </si>
  <si>
    <t xml:space="preserve">Null rate 10% in sample; isp and asn null together (row 3) - check pair null-consistency; trim.</t>
  </si>
  <si>
    <t xml:space="preserve">=(A2="")=(B2="")  (A=isp, B=asn)</t>
  </si>
  <si>
    <t xml:space="preserve">Helps tell self-hosted infrastructure from hosted/cloud; the ISP itself is not a lead.</t>
  </si>
  <si>
    <t xml:space="preserve">os</t>
  </si>
  <si>
    <t xml:space="preserve">(all null)</t>
  </si>
  <si>
    <t xml:space="preserve">Operating system. NULL in all 10 sample rows, so no real values observed.</t>
  </si>
  <si>
    <t xml:space="preserve">Not observed (all null)</t>
  </si>
  <si>
    <t xml:space="preserve">100% null in sample - confirm with a larger extract before applying value checks.</t>
  </si>
  <si>
    <t xml:space="preserve">=COUNTBLANK(A2:A11)=ROWS(A2:A11)</t>
  </si>
  <si>
    <t xml:space="preserve">Operating system of the host (Datapedia describes it only as 'Operating system').</t>
  </si>
  <si>
    <t xml:space="preserve">https://datapedia.shodan.io/</t>
  </si>
  <si>
    <t xml:space="preserve">Shodan Datapedia - text on page</t>
  </si>
  <si>
    <t xml:space="preserve">High</t>
  </si>
  <si>
    <t xml:space="preserve">Outdated operating systems are a strong need signal, but the column was null in all 10 sample rows. Validate coverage first.</t>
  </si>
  <si>
    <t xml:space="preserve">product</t>
  </si>
  <si>
    <t xml:space="preserve">nginx | Chromecast | Boa Web Server</t>
  </si>
  <si>
    <t xml:space="preserve">Detected software/product name. Populated 4/10: nginx, Chromecast, Boa Web Server, Ingrian SSH.</t>
  </si>
  <si>
    <t xml:space="preserve">60% null; when product is present it should relate to banner (nginx &lt;-&gt; Server: nginx; Ingrian SSH &lt;-&gt; SSH banner); version is null in all rows even when product present.</t>
  </si>
  <si>
    <t xml:space="preserve">=IF(A2="","",ISNUMBER(SEARCH(A2,B2)))  (B=data)</t>
  </si>
  <si>
    <t xml:space="preserve">Names the software on the port; basis for outdated/exposed software findings. Null in 6 of 10 sample rows.</t>
  </si>
  <si>
    <t xml:space="preserve">http</t>
  </si>
  <si>
    <t xml:space="preserve">{'status': 400, 'robots_hash': None, 'redirects': [], 'title... | {'status': 403, 'robots_hash': None, 'redirects': [], 'title... | {'status': 200, 'robots_hash': None, 'redirects': [], 'title...</t>
  </si>
  <si>
    <t xml:space="preserve">Struct for web services: status, title, server, headers, html, hashes, components, redirects, host, location, etc. Present in 3/10 rows (ports 15123, 8008 and 80). See sub-field rows.</t>
  </si>
  <si>
    <t xml:space="preserve">Null for non-HTTP rows (7/10); entire cell text can exceed Excel's 32,767-char limit (one row is ~34,410 chars) - process in DuckDB, or flatten sub-fields.</t>
  </si>
  <si>
    <t xml:space="preserve">=LEN(A2)&gt;32767</t>
  </si>
  <si>
    <t xml:space="preserve">Web data: status, title, server, technologies, WAF. Gives the tech stack and website identity of the business.</t>
  </si>
  <si>
    <t xml:space="preserve">ip</t>
  </si>
  <si>
    <t xml:space="preserve">2322677098 | 3667294341 | 2286895297</t>
  </si>
  <si>
    <t xml:space="preserve">IPv4 address as integer. Matched ip_str in all 10 sample rows (e.g. 2322677098 = 138.113.61.106).</t>
  </si>
  <si>
    <t xml:space="preserve">Not null; 0-4294967295; equals integer form of ip_str (verified 10/10).</t>
  </si>
  <si>
    <t xml:space="preserve">=A2=INDEX_OCTET_FORMULA  (see Row-Level Checks)</t>
  </si>
  <si>
    <t xml:space="preserve">Numeric duplicate of ip_str (matched in 10/10 sample rows); useful only for faster storage/range queries.</t>
  </si>
  <si>
    <t xml:space="preserve">cpe23</t>
  </si>
  <si>
    <t xml:space="preserve">['cpe:2.3:a:f5:nginx'] | ['cpe:2.3:a:jquery:jquery' 'cpe:2.3:a:jquery:jquery_ui:1.7.2...</t>
  </si>
  <si>
    <t xml:space="preserve">Software identifiers in CPE 2.3 text form, as a list. Populated 2/10, e.g. cpe:2.3:a:f5:nginx and cpe:2.3:a:jquery:jquery_ui:1.7.2. Values in sample are short (not full 13-field CPE strings).</t>
  </si>
  <si>
    <t xml:space="preserve">Starts with 'cpe:2.3:'; do not require 13 parts (sample values have 5-6); null when cpe is null (8/10 both); element count equals cpe.</t>
  </si>
  <si>
    <t xml:space="preserve">=IF(A2="","",ISNUMBER(SEARCH("cpe:2.3:",A2)))</t>
  </si>
  <si>
    <t xml:space="preserve">Standard software identifier that can be matched to known vulnerabilities. Only 2 of 10 sample rows have it.</t>
  </si>
  <si>
    <t xml:space="preserve">cpe</t>
  </si>
  <si>
    <t xml:space="preserve">['cpe:/a:f5:nginx'] | ['cpe:/a:jquery:jquery' 'cpe:/a:jquery:jquery_ui:1.7.2']</t>
  </si>
  <si>
    <t xml:space="preserve">Same identifiers in CPE 2.2 style, e.g. cpe:/a:f5:nginx. Populated 2/10 (same rows as cpe23).</t>
  </si>
  <si>
    <t xml:space="preserve">Starts with 'cpe:/'; null exactly when cpe23 null.</t>
  </si>
  <si>
    <t xml:space="preserve">=IF(A2="","",ISNUMBER(SEARCH("cpe:/",A2)))</t>
  </si>
  <si>
    <t xml:space="preserve">Older deprecated format of the same information as cpe23 (Datapedia calls it the old, deprecated format).</t>
  </si>
  <si>
    <t xml:space="preserve">_shodan</t>
  </si>
  <si>
    <t xml:space="preserve">{'options': {}, 'module': 'auto', 'id': UUID('90cc99c7-b355-... | {'options': {}, 'module': 'http-simple-new', 'id': UUID('5c6... | {'options': {}, 'module': 'dns-tcp', 'id': UUID('59f89bf4-f5...</t>
  </si>
  <si>
    <t xml:space="preserve">Collection metadata struct: options (empty {} in all rows), module (auto, http, http-simple-new, dns-tcp, tibia, ethernetip), id (UUID), crawler (40-char hex), region (na, eu or empty string), ptr (TRUE or null). Populated 10/10.</t>
  </si>
  <si>
    <t xml:space="preserve">See sub-field rows. id unique per row (10/10 unique in sample).</t>
  </si>
  <si>
    <t xml:space="preserve">Metadata about how the banner was collected (Datapedia: it stores no data about the service itself). Keep only for deduplication and lineage.</t>
  </si>
  <si>
    <t xml:space="preserve">cpe23_hash</t>
  </si>
  <si>
    <t xml:space="preserve">DOUBLE</t>
  </si>
  <si>
    <t xml:space="preserve">-1725627573.0 | 1072693929.0</t>
  </si>
  <si>
    <t xml:space="preserve">Numeric value tied to cpe23. Populated 2/10 (same rows as cpe23); values can be negative (-1725627573, 1072693929).</t>
  </si>
  <si>
    <t xml:space="preserve">Null exactly when cpe23 null (true in sample); numeric; negative values valid.</t>
  </si>
  <si>
    <t xml:space="preserve">=(A2="")=(B2="")  (B=cpe23)</t>
  </si>
  <si>
    <t xml:space="preserve">Numeric fingerprint for grouping identical software; no direct business meaning. Engineering use only.</t>
  </si>
  <si>
    <t xml:space="preserve">hash</t>
  </si>
  <si>
    <t xml:space="preserve">867632950.0 | -1437137619.0 | 0.0</t>
  </si>
  <si>
    <t xml:space="preserve">Numeric value per record, never null. Equals 0.0 in the 5 rows where data is null; non-zero otherwise (e.g. 867632950, -1437137619).</t>
  </si>
  <si>
    <t xml:space="preserve">Never null; hash = 0 exactly when data is null (5/5 in sample) - use as consistency check; negative values valid.</t>
  </si>
  <si>
    <t xml:space="preserve">=(A2=0)=(B2="")  (B=data)</t>
  </si>
  <si>
    <t xml:space="preserve">Numeric hash of the banner used to group identical banners. Engineering use only; equals 0 when data is null.</t>
  </si>
  <si>
    <t xml:space="preserve">transport</t>
  </si>
  <si>
    <t xml:space="preserve">tcp</t>
  </si>
  <si>
    <t xml:space="preserve">Transport protocol. 'tcp' in all 10 sample rows.</t>
  </si>
  <si>
    <t xml:space="preserve">Allowed values tcp/udp (only tcp observed); lowercase; not null.</t>
  </si>
  <si>
    <t xml:space="preserve">=OR(A2="tcp",A2="udp")</t>
  </si>
  <si>
    <t xml:space="preserve">UDP-exposed services (e.g. NTP, SNMP) can be abused for amplification attacks; context only, always tcp in sample.</t>
  </si>
  <si>
    <t xml:space="preserve">ip_str</t>
  </si>
  <si>
    <t xml:space="preserve">138.113.61.106 | 218.150.120.133 | 136.79.64.193</t>
  </si>
  <si>
    <t xml:space="preserve">IPv4 address in dotted text (e.g. 138.113.61.106).</t>
  </si>
  <si>
    <t xml:space="preserve">Not null; 4 octets 0-255; matches ip; no spaces.</t>
  </si>
  <si>
    <t xml:space="preserve">=AND(LEN(A2)-LEN(SUBSTITUTE(A2,".",""))=3,ISERROR(SEARCH(" ",A2)))</t>
  </si>
  <si>
    <t xml:space="preserve">Readable IP used to join to company IP ranges and ASN data.</t>
  </si>
  <si>
    <t xml:space="preserve">asn</t>
  </si>
  <si>
    <t xml:space="preserve">AS54994 | AS4766 | AS40509</t>
  </si>
  <si>
    <t xml:space="preserve">Autonomous system number as text with 'AS' prefix (e.g. AS54994, AS3356, AS396982). 9/10 populated.</t>
  </si>
  <si>
    <t xml:space="preserve">Pattern 'AS' + digits; same ASN repeated for different IPs (AS396982 twice) is normal; null with isp null.</t>
  </si>
  <si>
    <t xml:space="preserve">=IF(A2="","",AND(LEFT(A2,2)="AS",ISNUMBER(--MID(A2,3,10))))</t>
  </si>
  <si>
    <t xml:space="preserve">Groups IPs into a company's network so exposed assets can be attributed to one organization. Null in 1 of 10 sample rows.</t>
  </si>
  <si>
    <t xml:space="preserve">tags</t>
  </si>
  <si>
    <t xml:space="preserve">['iot'] | ['cloud'] | ['cdn']</t>
  </si>
  <si>
    <t xml:space="preserve">Labels list. Populated 4/10: ['iot'], ['cloud'] (x2), ['cdn'].</t>
  </si>
  <si>
    <t xml:space="preserve">60% null; values observed: iot, cloud, cdn - maintain allowed list as more values appear; cloud tag appears on rows where cloud struct is populated (2/2).</t>
  </si>
  <si>
    <t xml:space="preserve">=IF(A2="","",LEFT(A2,1)="[")</t>
  </si>
  <si>
    <t xml:space="preserve">Ready-made risk labels. Datapedia lists values like eol-os, eol-product, self-signed, compromised, malware, vpn, ics. Use 'honeypot' to exclude false leads.</t>
  </si>
  <si>
    <t xml:space="preserve">dns</t>
  </si>
  <si>
    <t xml:space="preserve">{'resolver_hostname': None, 'recursive': False, 'resolver_id...</t>
  </si>
  <si>
    <t xml:space="preserve">DNS-related struct (resolver_hostname, recursive, resolver_id, software). 1/10 populated, on the port 53 row; recursive=False, others null.</t>
  </si>
  <si>
    <t xml:space="preserve">Present only on port 53 row in sample; recursive TRUE/FALSE.</t>
  </si>
  <si>
    <t xml:space="preserve">=IF(A2="","",OR(A2=TRUE,A2=FALSE))</t>
  </si>
  <si>
    <t xml:space="preserve">dns.recursive shows an open resolver, a hygiene issue; narrow signal.</t>
  </si>
  <si>
    <t xml:space="preserve">cloud</t>
  </si>
  <si>
    <t xml:space="preserve">{'region': 'global', 'service': None, 'provider': 'Google'}</t>
  </si>
  <si>
    <t xml:space="preserve">Cloud struct (provider, region, service). 2/10 populated: provider Google, region global, service null; both rows have org Google LLC and tag cloud.</t>
  </si>
  <si>
    <t xml:space="preserve">Null for non-cloud (8/10); provider consistent with org; service null in sample.</t>
  </si>
  <si>
    <t xml:space="preserve">Separates cloud-hosted from on-premise estates, useful for choosing cloud vs network security offers.</t>
  </si>
  <si>
    <t xml:space="preserve">screenshot</t>
  </si>
  <si>
    <t xml:space="preserve">{'mime': 'image/jpeg', 'data': '/9j/4AAQSkZJRgABAQAAAQABAAD/...</t>
  </si>
  <si>
    <t xml:space="preserve">Screenshot struct: mime (image/jpeg), data (base64 text with line breaks), hash, labels (['webcam','login']). 1/10 populated, on the port 80 row.</t>
  </si>
  <si>
    <t xml:space="preserve">Null 9/10; mime starts 'image/'; data is large - exceeds Excel 32,767-char cell limit, keep in DuckDB; labels list non-empty.</t>
  </si>
  <si>
    <t xml:space="preserve">Use only the labels (e.g. webcam, login) to spot exposed login panels or cameras. Do not store the base64 image (58,252 chars in sample).</t>
  </si>
  <si>
    <t xml:space="preserve">version</t>
  </si>
  <si>
    <t xml:space="preserve">NULL in all 10 sample rows - meaning not verifiable from this sample; only the column name and declared type are known.</t>
  </si>
  <si>
    <t xml:space="preserve">Cannot define value rules from this sample. Only check: percent null across a larger extract; type matches schema (VARCHAR).</t>
  </si>
  <si>
    <t xml:space="preserve">Version string of the software on the port. Datapedia lists it as a string with no description; it sits next to 'product' (name of the software that powers the service).</t>
  </si>
  <si>
    <t xml:space="preserve">Datapedia lists the field with no description; meaning inferred from field name</t>
  </si>
  <si>
    <t xml:space="preserve">Medium</t>
  </si>
  <si>
    <t xml:space="preserve">With product, identifies outdated versions. Null in all 10 sample rows, so check coverage.</t>
  </si>
  <si>
    <t xml:space="preserve">devicetype</t>
  </si>
  <si>
    <t xml:space="preserve">security-misc</t>
  </si>
  <si>
    <t xml:space="preserve">Device category text. 1/10 populated: 'security-misc' (on the Ingrian SSH row).</t>
  </si>
  <si>
    <t xml:space="preserve">90% null; build allowed list as data grows.</t>
  </si>
  <si>
    <t xml:space="preserve">Helps segment by environment (e.g. ICS, medical, IoT). 1 of 10 rows populated in sample.</t>
  </si>
  <si>
    <t xml:space="preserve">info</t>
  </si>
  <si>
    <t xml:space="preserve">protocol 58</t>
  </si>
  <si>
    <t xml:space="preserve">Extra info text. 1/10 populated: 'protocol 58' (Ingrian SSH row).</t>
  </si>
  <si>
    <t xml:space="preserve">90% null; trimmed.</t>
  </si>
  <si>
    <t xml:space="preserve">Free text with no standard format; 1 of 10 rows populated ('protocol 58').</t>
  </si>
  <si>
    <t xml:space="preserve">ipv6</t>
  </si>
  <si>
    <t xml:space="preserve">IPv6 address of the host. Datapedia lists it as a string with no description. Name suggests it is used when the service was found over IPv6 instead of ip/ip_str.</t>
  </si>
  <si>
    <t xml:space="preserve">Null in all 10 sample rows; IPv4 fields already identify the host.</t>
  </si>
  <si>
    <t xml:space="preserve">ssl</t>
  </si>
  <si>
    <t xml:space="preserve">Cannot define value rules from this sample. Only check: percent null across a larger extract; type matches schema (STRUCT).</t>
  </si>
  <si>
    <t xml:space="preserve">Parsed TLS/SSL data for the service: parsed certificate (ssl.cert), certificate chain, list of SSL/TLS versions the device permits and denies (denied ones prefixed with '-'), and the preferred cipher. Also holds fingerprints jarm (active TLS server fingerprint) and ja3s (server-side TLS fingerprint).</t>
  </si>
  <si>
    <t xml:space="preserve">https://blog.shodan.io/ssl-update/</t>
  </si>
  <si>
    <t xml:space="preserve">Shodan blog + Datapedia</t>
  </si>
  <si>
    <t xml:space="preserve">Certificate subject/issuer can name the company; expired certs, old SSL/TLS versions and self-signed certs show weak hygiene. Null in sample.</t>
  </si>
  <si>
    <t xml:space="preserve">vulns</t>
  </si>
  <si>
    <t xml:space="preserve">MAP(VARCHAR, STRUCT)</t>
  </si>
  <si>
    <t xml:space="preserve">Cannot define value rules from this sample. Only check: percent null across a larger extract; type matches schema (MAP(VARCHAR, STRUCT)).</t>
  </si>
  <si>
    <t xml:space="preserve">Map keyed by vulnerability ID. Each entry has cvss, cvss_version, epss, ranking_epss, kev, verified, references and summary (Datapedia lists these fields; 'references', 'summary' and 'verified' are required). Standard meanings: CVSS = severity score, EPSS = predicted exploitation probability, KEV = listed in a known-exploited catalog.</t>
  </si>
  <si>
    <t xml:space="preserve">Shodan Datapedia lists this property (no prose description); meaning = standard protocol/product meaning</t>
  </si>
  <si>
    <t xml:space="preserve">Strongest buying signal: known CVEs with CVSS, EPSS and KEV flags. Null in sample, so confirm coverage.</t>
  </si>
  <si>
    <t xml:space="preserve">title</t>
  </si>
  <si>
    <t xml:space="preserve">Deprecated. Datapedia says to use http.title instead. Matches your sample, where top-level title was null while http.title was populated.</t>
  </si>
  <si>
    <t xml:space="preserve">Deprecated per Datapedia; use http.title. Null in all 10 sample rows.</t>
  </si>
  <si>
    <t xml:space="preserve">html</t>
  </si>
  <si>
    <t xml:space="preserve">Deprecated. Datapedia says to use http.html instead. Matches your sample, where top-level html was null while http.html was populated.</t>
  </si>
  <si>
    <t xml:space="preserve">Deprecated per Datapedia; use http.html. Null in all 10 sample rows.</t>
  </si>
  <si>
    <t xml:space="preserve">ssh</t>
  </si>
  <si>
    <t xml:space="preserve">SSH service details gathered during the handshake: server host key and fingerprint, key-exchange, encryption, MAC and compression algorithm lists, and a HASSH fingerprint. Datapedia also defines the tag 'ssh-bad-key'.</t>
  </si>
  <si>
    <t xml:space="preserve">https://datapedia.shodan.io/property/ssh.html</t>
  </si>
  <si>
    <t xml:space="preserve">Weak key-exchange/cipher lists or known bad keys point to poor hardening.</t>
  </si>
  <si>
    <t xml:space="preserve">mdns</t>
  </si>
  <si>
    <t xml:space="preserve">Multicast DNS (mDNS) service-discovery response: services a device advertises on a network (e.g. workstation, spotify-connect, mumble) with name, port and addresses.</t>
  </si>
  <si>
    <t xml:space="preserve">https://datapedia.shodan.io/property/mdns.html</t>
  </si>
  <si>
    <t xml:space="preserve">Local-network discovery protocol, mostly consumer/home devices; weak link to a business buyer.</t>
  </si>
  <si>
    <t xml:space="preserve">pptp</t>
  </si>
  <si>
    <t xml:space="preserve">Point-to-Point Tunneling Protocol (VPN) server info: firmware, hostname and vendor reported by the server.</t>
  </si>
  <si>
    <t xml:space="preserve">https://datapedia.shodan.io/property/pptp.html</t>
  </si>
  <si>
    <t xml:space="preserve">PPTP is a legacy VPN protocol; its presence suggests outdated remote access. Narrow signal.</t>
  </si>
  <si>
    <t xml:space="preserve">plex</t>
  </si>
  <si>
    <t xml:space="preserve">Plex Media Server identification; holds the server's machine_identifier.</t>
  </si>
  <si>
    <t xml:space="preserve">https://datapedia.shodan.io/property/plex.html</t>
  </si>
  <si>
    <t xml:space="preserve">Consumer media server software; not a business cybersecurity buying signal.</t>
  </si>
  <si>
    <t xml:space="preserve">snmp</t>
  </si>
  <si>
    <t xml:space="preserve">Simple Network Management Protocol response: supported SNMP versions, engine ID details, engine boots/time and enterprise number/name of the device vendor.</t>
  </si>
  <si>
    <t xml:space="preserve">https://datapedia.shodan.io/property/snmp.html</t>
  </si>
  <si>
    <t xml:space="preserve">Internet-exposed device management; useful with SNMP version and vendor.</t>
  </si>
  <si>
    <t xml:space="preserve">mac</t>
  </si>
  <si>
    <t xml:space="preserve">Cannot define value rules from this sample. Only check: percent null across a larger extract; type matches schema (MAP(VARCHAR, JSON)).</t>
  </si>
  <si>
    <t xml:space="preserve">Map keyed by MAC address. Each value is MacAddressInfo with 'assignment', 'date' and 'org' (organization the MAC prefix is registered to); 'assignment' and 'org' are required.</t>
  </si>
  <si>
    <t xml:space="preserve">MAC vendor lookup of a local network address; little value for choosing company targets.</t>
  </si>
  <si>
    <t xml:space="preserve">redis</t>
  </si>
  <si>
    <t xml:space="preserve">Redis service info; holds authentication_required (whether the server asks for a password).</t>
  </si>
  <si>
    <t xml:space="preserve">https://datapedia.shodan.io/property/redis.html</t>
  </si>
  <si>
    <t xml:space="preserve">authentication_required = FALSE means an unauthenticated database exposed to the internet: high urgency.</t>
  </si>
  <si>
    <t xml:space="preserve">ntp</t>
  </si>
  <si>
    <t xml:space="preserve">Network Time Protocol response: stratum, reference ID, offset/delay/jitter, version, system and processor strings. Datapedia notes an NTP service that returns a list of recent connections (monlist) can be abused in DDoS reflection attacks.</t>
  </si>
  <si>
    <t xml:space="preserve">https://datapedia.shodan.io/property/ntp.html</t>
  </si>
  <si>
    <t xml:space="preserve">Monlist-enabled NTP can be abused for DDoS reflection (per Datapedia); shows weak hygiene.</t>
  </si>
  <si>
    <t xml:space="preserve">ftp</t>
  </si>
  <si>
    <t xml:space="preserve">FTP server info: supported FEAT features and whether anonymous login is allowed (anonymous).</t>
  </si>
  <si>
    <t xml:space="preserve">https://datapedia.shodan.io/property/ftp.html</t>
  </si>
  <si>
    <t xml:space="preserve">Anonymous login or plain FTP is a clear hygiene issue; narrow signal.</t>
  </si>
  <si>
    <t xml:space="preserve">telnet</t>
  </si>
  <si>
    <t xml:space="preserve">Telnet option negotiation captured from the server: lists of options it WILL, DO, DONT and WONT.</t>
  </si>
  <si>
    <t xml:space="preserve">https://datapedia.shodan.io/property/telnet.html</t>
  </si>
  <si>
    <t xml:space="preserve">Exposed Telnet is unencrypted remote administration; clear risk signal.</t>
  </si>
  <si>
    <t xml:space="preserve">hikvision</t>
  </si>
  <si>
    <t xml:space="preserve">Hikvision (IP camera / DVR vendor) web interface fingerprint: web, plugin and device versions and ActiveX component files.</t>
  </si>
  <si>
    <t xml:space="preserve">https://datapedia.shodan.io/property/hikvision.html</t>
  </si>
  <si>
    <t xml:space="preserve">Camera/DVR fingerprint with versions for known-vulnerability matching; device owner may be non-business.</t>
  </si>
  <si>
    <t xml:space="preserve">kubernetes</t>
  </si>
  <si>
    <t xml:space="preserve">Kubernetes API/version info: build_date, go_version and platform.</t>
  </si>
  <si>
    <t xml:space="preserve">https://datapedia.shodan.io/property/kubernetes.html</t>
  </si>
  <si>
    <t xml:space="preserve">Exposed Kubernetes API/version info points to cloud-native security needs.</t>
  </si>
  <si>
    <t xml:space="preserve">mysql</t>
  </si>
  <si>
    <t xml:space="preserve">MySQL server handshake info: protocol version, server version, capabilities, server language/status and authentication plugin.</t>
  </si>
  <si>
    <t xml:space="preserve">https://datapedia.shodan.io/property/mysql.html</t>
  </si>
  <si>
    <t xml:space="preserve">Database exposed to the internet; version enables known-vulnerability matching.</t>
  </si>
  <si>
    <t xml:space="preserve">dahua_dvr_web</t>
  </si>
  <si>
    <t xml:space="preserve">Dahua DVR web interface fingerprint: web version and browser plugin details (version, name, class ID).</t>
  </si>
  <si>
    <t xml:space="preserve">https://datapedia.shodan.io/property/dahua_dvr_web.html</t>
  </si>
  <si>
    <t xml:space="preserve">DVR web interface fingerprint with versions; same caveat as hikvision.</t>
  </si>
  <si>
    <t xml:space="preserve">mysqlx</t>
  </si>
  <si>
    <t xml:space="preserve">MySQL X Protocol info: TLS support, authentication mechanisms, document formats, compression algorithms and node type.</t>
  </si>
  <si>
    <t xml:space="preserve">https://datapedia.shodan.io/property/mysqlx.html</t>
  </si>
  <si>
    <t xml:space="preserve">Same family as mysql; exposure signal with TLS and auth mechanism details.</t>
  </si>
  <si>
    <t xml:space="preserve">ntlm</t>
  </si>
  <si>
    <t xml:space="preserve">Information from an NTLM authentication challenge: OS, OS build, NetBIOS and DNS domain/computer names, FQDN, target realm.</t>
  </si>
  <si>
    <t xml:space="preserve">https://datapedia.shodan.io/property/ntlm.html</t>
  </si>
  <si>
    <t xml:space="preserve">Reveals internal domain/computer names and OS build, helping identify the company and its Windows environment.</t>
  </si>
  <si>
    <t xml:space="preserve">rdp_encryption</t>
  </si>
  <si>
    <t xml:space="preserve">Remote Desktop Protocol security settings: supported encryption levels, methods and protocols.</t>
  </si>
  <si>
    <t xml:space="preserve">https://datapedia.shodan.io/property/rdp_encryption.html</t>
  </si>
  <si>
    <t xml:space="preserve">Exposed Remote Desktop is a common ransomware entry point; encryption settings add detail.</t>
  </si>
  <si>
    <t xml:space="preserve">vnc</t>
  </si>
  <si>
    <t xml:space="preserve">VNC (remote desktop) server info; holds the protocol_version it announces.</t>
  </si>
  <si>
    <t xml:space="preserve">https://datapedia.shodan.io/property/vnc.html</t>
  </si>
  <si>
    <t xml:space="preserve">Exposed remote desktop service; strong exposure signal.</t>
  </si>
  <si>
    <t xml:space="preserve">isakmp</t>
  </si>
  <si>
    <t xml:space="preserve">ISAKMP / IKE (IPsec VPN key exchange) response: version, exchange type, flags, initiator/responder SPI and vendor IDs, plus an aggressive-mode sub-response.</t>
  </si>
  <si>
    <t xml:space="preserve">https://datapedia.shodan.io/property/isakmp.html</t>
  </si>
  <si>
    <t xml:space="preserve">Shows a VPN gateway and its IKE setup; useful for remote-access security offers.</t>
  </si>
  <si>
    <t xml:space="preserve">msrpc</t>
  </si>
  <si>
    <t xml:space="preserve">Microsoft RPC endpoint-mapper listing: registered RPC interfaces (by UUID) with annotation, provider and bindings such as ncacn_ip_tcp, ncacn_np and ncalrpc.</t>
  </si>
  <si>
    <t xml:space="preserve">https://datapedia.shodan.io/property/msrpc.html</t>
  </si>
  <si>
    <t xml:space="preserve">Internet-exposed Windows RPC suggests a poorly filtered Windows host.</t>
  </si>
  <si>
    <t xml:space="preserve">smb</t>
  </si>
  <si>
    <t xml:space="preserve">SMB (Windows file sharing) info: protocol version, OS, software and capabilities reported by the server.</t>
  </si>
  <si>
    <t xml:space="preserve">https://datapedia.shodan.io/property/smb.html</t>
  </si>
  <si>
    <t xml:space="preserve">Internet-exposed SMB file sharing is high risk; version/OS data supports prioritisation.</t>
  </si>
  <si>
    <t xml:space="preserve">mqtt</t>
  </si>
  <si>
    <t xml:space="preserve">MQTT (IoT messaging) broker response: connect return code and any messages captured.</t>
  </si>
  <si>
    <t xml:space="preserve">https://datapedia.shodan.io/property/mqtt.html</t>
  </si>
  <si>
    <t xml:space="preserve">Open IoT message broker can leak data; relevant mainly to IoT-heavy firms.</t>
  </si>
  <si>
    <t xml:space="preserve">mikrotik_routeros</t>
  </si>
  <si>
    <t xml:space="preserve">MikroTik RouterOS device fingerprint; holds the RouterOS version.</t>
  </si>
  <si>
    <t xml:space="preserve">https://datapedia.shodan.io/property/mikrotik_routeros.html</t>
  </si>
  <si>
    <t xml:space="preserve">Router version for known-vulnerability matching; often small-business equipment.</t>
  </si>
  <si>
    <t xml:space="preserve">node_exporter</t>
  </si>
  <si>
    <t xml:space="preserve">Metrics exposed by Prometheus Node Exporter: build info, OS release info, uname, DMI/hardware info and network interfaces of the host.</t>
  </si>
  <si>
    <t xml:space="preserve">https://datapedia.shodan.io/property/node_exporter.html</t>
  </si>
  <si>
    <t xml:space="preserve">Exposed metrics reveal hardware, OS and network details of internal hosts.</t>
  </si>
  <si>
    <t xml:space="preserve">open_dir</t>
  </si>
  <si>
    <t xml:space="preserve">Open web directory listing: file extensions and paths (with type) found, plus a hash. Datapedia also defines the tag 'open-dir'.</t>
  </si>
  <si>
    <t xml:space="preserve">https://datapedia.shodan.io/property/open_dir.html</t>
  </si>
  <si>
    <t xml:space="preserve">Open web directory listings can expose files; per Datapedia a matching tag 'open-dir' exists.</t>
  </si>
  <si>
    <t xml:space="preserve">synology_dsm</t>
  </si>
  <si>
    <t xml:space="preserve">Synology DiskStation Manager (NAS) web interface; holds the hostname.</t>
  </si>
  <si>
    <t xml:space="preserve">https://datapedia.shodan.io/property/synology_dsm.html</t>
  </si>
  <si>
    <t xml:space="preserve">Exposed NAS login/admin interface; common data-theft and ransomware target.</t>
  </si>
  <si>
    <t xml:space="preserve">cisco_ipsla</t>
  </si>
  <si>
    <t xml:space="preserve">Cisco IP SLA responder reply: version, status, sequence and sub-status.</t>
  </si>
  <si>
    <t xml:space="preserve">https://datapedia.shodan.io/property/cisco_ipsla.html</t>
  </si>
  <si>
    <t xml:space="preserve">Network performance-measurement responder; little link to cybersecurity purchase intent.</t>
  </si>
  <si>
    <t xml:space="preserve">fast_reverse_proxy</t>
  </si>
  <si>
    <t xml:space="preserve">fast reverse proxy (frp) service info: version and error message.</t>
  </si>
  <si>
    <t xml:space="preserve">https://datapedia.shodan.io/property/fast_reverse_proxy.html</t>
  </si>
  <si>
    <t xml:space="preserve">frp can expose internal services to the internet; may indicate shadow IT or tunneling.</t>
  </si>
  <si>
    <t xml:space="preserve">mcp</t>
  </si>
  <si>
    <t xml:space="preserve">Model Context Protocol (MCP) server fingerprint: server name/version, protocol version and transport. Research on exposed MCP servers identifies them by their 'initialize' handshake. Not listed in the Datapedia navigation I fetched, so the field meaning is inferred from its names.</t>
  </si>
  <si>
    <t xml:space="preserve">https://www.knostic.ai/blog/find-mcp-server-shodan</t>
  </si>
  <si>
    <t xml:space="preserve">Third-party research (not Shodan docs)</t>
  </si>
  <si>
    <t xml:space="preserve">Exposed AI-agent tool servers are an emerging risk (research found many without authentication); new, low volume.</t>
  </si>
  <si>
    <t xml:space="preserve">Sub-field</t>
  </si>
  <si>
    <t xml:space="preserve">Type</t>
  </si>
  <si>
    <t xml:space="preserve">Data quality checks</t>
  </si>
  <si>
    <t xml:space="preserve">location.city</t>
  </si>
  <si>
    <t xml:space="preserve">City, e.g. Tseung Kwan O, Mountain View, Dordrecht. 10/10 populated.</t>
  </si>
  <si>
    <t xml:space="preserve">Not null in sample; same city can map to same coordinates (Mountain View x2 share lat/long).</t>
  </si>
  <si>
    <t xml:space="preserve">=LEN(A2)&gt;0</t>
  </si>
  <si>
    <t xml:space="preserve">City for territory routing; IP geolocation is approximate.</t>
  </si>
  <si>
    <t xml:space="preserve">location.country_code</t>
  </si>
  <si>
    <t xml:space="preserve">2-letter country code: HK, KR, US, GB, NL, SG, CN. 10/10.</t>
  </si>
  <si>
    <t xml:space="preserve">Exactly 2 uppercase letters; matches country_name 1:1 (US-&gt;United States in 4 rows).</t>
  </si>
  <si>
    <t xml:space="preserve">=AND(LEN(A2)=2,EXACT(A2,UPPER(A2)))</t>
  </si>
  <si>
    <t xml:space="preserve">Country filter for territory, regulation and language targeting.</t>
  </si>
  <si>
    <t xml:space="preserve">location.country_name</t>
  </si>
  <si>
    <t xml:space="preserve">Country name. Note 'Korea, Republic of' contains a comma.</t>
  </si>
  <si>
    <t xml:space="preserve">Comma inside value - quote when exporting to CSV; 1 name per code.</t>
  </si>
  <si>
    <t xml:space="preserve">=ISNUMBER(SEARCH(",",A2))</t>
  </si>
  <si>
    <t xml:space="preserve">Duplicates country_code; value 'Korea, Republic of' contains a comma.</t>
  </si>
  <si>
    <t xml:space="preserve">location.latitude</t>
  </si>
  <si>
    <t xml:space="preserve">Latitude, e.g. 22.32789. 10/10.</t>
  </si>
  <si>
    <t xml:space="preserve">Numeric between -90 and 90.</t>
  </si>
  <si>
    <t xml:space="preserve">=AND(A2&gt;=-90,A2&lt;=90)</t>
  </si>
  <si>
    <t xml:space="preserve">IP geolocation points to hosting/ISP location, not the company office; in the sample two Google LLC rows share identical coordinates.</t>
  </si>
  <si>
    <t xml:space="preserve">location.longitude</t>
  </si>
  <si>
    <t xml:space="preserve">Longitude, e.g. 114.24992. 10/10.</t>
  </si>
  <si>
    <t xml:space="preserve">Numeric between -180 and 180.</t>
  </si>
  <si>
    <t xml:space="preserve">=AND(A2&gt;=-180,A2&lt;=180)</t>
  </si>
  <si>
    <t xml:space="preserve">Same limitation as latitude.</t>
  </si>
  <si>
    <t xml:space="preserve">location.region_code</t>
  </si>
  <si>
    <t xml:space="preserve">Region/state code: '', 44, CA, ENG, MO, ZH, 01, MA, ZJ. Empty string '' appears in 1 row.</t>
  </si>
  <si>
    <t xml:space="preserve">Mixes empty string and null styles - normalize ''-&gt;NULL; formats vary (numeric vs letters).</t>
  </si>
  <si>
    <t xml:space="preserve">=A2=""</t>
  </si>
  <si>
    <t xml:space="preserve">Region/state for finer territories, but formats vary and '' appears in the sample.</t>
  </si>
  <si>
    <t xml:space="preserve">location.area_code / country_code3 / dma_code / postal_code</t>
  </si>
  <si>
    <t xml:space="preserve">JSON/VARCHAR</t>
  </si>
  <si>
    <t xml:space="preserve">NULL in all 10 rows.</t>
  </si>
  <si>
    <t xml:space="preserve">100% null in sample - confirm with larger data.</t>
  </si>
  <si>
    <t xml:space="preserve">Null in all 10 sample rows.</t>
  </si>
  <si>
    <t xml:space="preserve">_shodan.module</t>
  </si>
  <si>
    <t xml:space="preserve">Name of scan module: auto (4), tibia (2), http, http-simple-new, dns-tcp, ethernetip.</t>
  </si>
  <si>
    <t xml:space="preserve">Not null; build allowed list; compare with port (53-&gt;dns-tcp, 44818-&gt;ethernetip).</t>
  </si>
  <si>
    <t xml:space="preserve">Collection detail already reflected by port/product; engineering use only.</t>
  </si>
  <si>
    <t xml:space="preserve">_shodan.id</t>
  </si>
  <si>
    <t xml:space="preserve">UUID</t>
  </si>
  <si>
    <t xml:space="preserve">Unique identifier per record (36-char UUID). 10 unique in 10 rows.</t>
  </si>
  <si>
    <t xml:space="preserve">Unique; 36 chars with 4 hyphens.</t>
  </si>
  <si>
    <t xml:space="preserve">=AND(LEN(A2)=36,LEN(A2)-LEN(SUBSTITUTE(A2,"-",""))=4)</t>
  </si>
  <si>
    <t xml:space="preserve">Unique banner ID; use only for deduplication.</t>
  </si>
  <si>
    <t xml:space="preserve">_shodan.crawler</t>
  </si>
  <si>
    <t xml:space="preserve">40-character hex string (crawler identifier).</t>
  </si>
  <si>
    <t xml:space="preserve">40 hex characters.</t>
  </si>
  <si>
    <t xml:space="preserve">=LEN(A2)=40</t>
  </si>
  <si>
    <t xml:space="preserve">Scanner identifier; no business meaning.</t>
  </si>
  <si>
    <t xml:space="preserve">_shodan.region</t>
  </si>
  <si>
    <t xml:space="preserve">Values: na (6), eu (3), empty string (1).</t>
  </si>
  <si>
    <t xml:space="preserve">Normalize '' to NULL; allowed list na/eu seen so far.</t>
  </si>
  <si>
    <t xml:space="preserve">=OR(A2="na",A2="eu")</t>
  </si>
  <si>
    <t xml:space="preserve">Scanner region (na/eu), not the target's location.</t>
  </si>
  <si>
    <t xml:space="preserve">_shodan.ptr</t>
  </si>
  <si>
    <t xml:space="preserve">BOOLEAN</t>
  </si>
  <si>
    <t xml:space="preserve">TRUE in 8 rows, null in 2 rows.</t>
  </si>
  <si>
    <t xml:space="preserve">TRUE/null only seen; FALSE not observed.</t>
  </si>
  <si>
    <t xml:space="preserve">=OR(A2=TRUE,A2="")</t>
  </si>
  <si>
    <t xml:space="preserve">Collection flag; no business meaning.</t>
  </si>
  <si>
    <t xml:space="preserve">_shodan.options</t>
  </si>
  <si>
    <t xml:space="preserve">MAP</t>
  </si>
  <si>
    <t xml:space="preserve">Empty {} in all 10 rows.</t>
  </si>
  <si>
    <t xml:space="preserve">Expect {}.</t>
  </si>
  <si>
    <t xml:space="preserve">Empty in all 10 sample rows.</t>
  </si>
  <si>
    <t xml:space="preserve">http.status</t>
  </si>
  <si>
    <t xml:space="preserve">HTTP status: 400, 403, 200 (3 rows).</t>
  </si>
  <si>
    <t xml:space="preserve">100-599 integer; matches first line of data (HTTP/1.1 400 Bad Request etc. - consistent 3/3).</t>
  </si>
  <si>
    <t xml:space="preserve">=AND(A2&gt;=100,A2&lt;=599)</t>
  </si>
  <si>
    <t xml:space="preserve">200 vs 403/400 shows whether a service answers openly or is blocked/misconfigured.</t>
  </si>
  <si>
    <t xml:space="preserve">http.host</t>
  </si>
  <si>
    <t xml:space="preserve">Equals ip_str in all 3 http rows.</t>
  </si>
  <si>
    <t xml:space="preserve">Equals ip_str.</t>
  </si>
  <si>
    <t xml:space="preserve">=A2=B2  (B=ip_str)</t>
  </si>
  <si>
    <t xml:space="preserve">Equals ip_str in all 3 sample http rows.</t>
  </si>
  <si>
    <t xml:space="preserve">http.title</t>
  </si>
  <si>
    <t xml:space="preserve">Page title: '400 Bad Request' in 1 row; null in the other 2. NOTE top-level title column is null in all rows even when http.title exists, so top-level title is NOT a copy.</t>
  </si>
  <si>
    <t xml:space="preserve">Do not rely on top-level title; use http.title.</t>
  </si>
  <si>
    <t xml:space="preserve">Page title can name the site or reveal admin/login pages.</t>
  </si>
  <si>
    <t xml:space="preserve">http.server</t>
  </si>
  <si>
    <t xml:space="preserve">Server header value: nginx, Boa/0.94.14rc21; null in 1 row.</t>
  </si>
  <si>
    <t xml:space="preserve">Matches product for nginx and Boa rows; null when header absent.</t>
  </si>
  <si>
    <t xml:space="preserve">=IF(A2="","",ISNUMBER(SEARCH(A2,B2)))</t>
  </si>
  <si>
    <t xml:space="preserve">Web server name/version for outdated-software detection.</t>
  </si>
  <si>
    <t xml:space="preserve">http.headers</t>
  </si>
  <si>
    <t xml:space="preserve">MAP(VARCHAR,VARCHAR)</t>
  </si>
  <si>
    <t xml:space="preserve">Lower-case header names: content-length, server, date, content-type, connection, etc.</t>
  </si>
  <si>
    <t xml:space="preserve">Keys lowercase; values text; one row has only content-length: 0.</t>
  </si>
  <si>
    <t xml:space="preserve">=EXACT(A2,LOWER(A2))</t>
  </si>
  <si>
    <t xml:space="preserve">Missing security headers show weak hardening; needs parsing.</t>
  </si>
  <si>
    <t xml:space="preserve">http.html</t>
  </si>
  <si>
    <t xml:space="preserve">Page HTML: full page in 2 rows, empty string '' in 1 row. Top-level html column is null in all rows (not a copy).</t>
  </si>
  <si>
    <t xml:space="preserve">'' vs null - when html is '' then dom_hash, html_hash and components_hash are 0.0 (row 2).</t>
  </si>
  <si>
    <t xml:space="preserve">Mine for company name or product clues; very large, so extract text rather than store whole page.</t>
  </si>
  <si>
    <t xml:space="preserve">http.*_hash (title, dom, components, headers, html, server)</t>
  </si>
  <si>
    <t xml:space="preserve">Numeric values, can be negative; 0.0 when html is empty; null when source field null (title_hash null when title null in non-empty case).</t>
  </si>
  <si>
    <t xml:space="preserve">Numeric; consistent null/0 behavior.</t>
  </si>
  <si>
    <t xml:space="preserve">=ISNUMBER(A2)</t>
  </si>
  <si>
    <t xml:space="preserve">Fingerprint hashes for clustering similar pages; engineering use only.</t>
  </si>
  <si>
    <t xml:space="preserve">http.location</t>
  </si>
  <si>
    <t xml:space="preserve">'/' in all 3 http rows.</t>
  </si>
  <si>
    <t xml:space="preserve">Not null in http rows.</t>
  </si>
  <si>
    <t xml:space="preserve">=A2="/"</t>
  </si>
  <si>
    <t xml:space="preserve">'/' in all 3 sample rows.</t>
  </si>
  <si>
    <t xml:space="preserve">http.components</t>
  </si>
  <si>
    <t xml:space="preserve">Detected web tech: Nginx (Web servers, Reverse proxies); jQuery and jQuery UI 1.7.2 (JavaScript libraries); {} empty in 1 row.</t>
  </si>
  <si>
    <t xml:space="preserve">versions can be null; {} for none.</t>
  </si>
  <si>
    <t xml:space="preserve">Detected web technologies and versions (e.g. jQuery UI 1.7.2 in sample) show tech stack and outdated libraries.</t>
  </si>
  <si>
    <t xml:space="preserve">http.redirects / robots / securitytxt / sitemap / waf / favicon / identifiers</t>
  </si>
  <si>
    <t xml:space="preserve">various</t>
  </si>
  <si>
    <t xml:space="preserve">Empty list or null in all 3 http rows.</t>
  </si>
  <si>
    <t xml:space="preserve">Not verifiable from sample.</t>
  </si>
  <si>
    <t xml:space="preserve">waf and securitytxt hint at security maturity; analytics/tag IDs can link sites to one company. Other parts are empty in the sample.</t>
  </si>
  <si>
    <t xml:space="preserve">screenshot.labels</t>
  </si>
  <si>
    <t xml:space="preserve">['webcam','login'] on the single screenshot row.</t>
  </si>
  <si>
    <t xml:space="preserve">Values: webcam, login so far.</t>
  </si>
  <si>
    <t xml:space="preserve">=LEFT(A2,1)="["</t>
  </si>
  <si>
    <t xml:space="preserve">Labels such as webcam or login flag exposed panels.</t>
  </si>
  <si>
    <t xml:space="preserve">Check</t>
  </si>
  <si>
    <t xml:space="preserve">Fields</t>
  </si>
  <si>
    <t xml:space="preserve">Result on 10-row sample</t>
  </si>
  <si>
    <t xml:space="preserve">ip equals integer form of ip_str</t>
  </si>
  <si>
    <t xml:space="preserve">ip, ip_str</t>
  </si>
  <si>
    <t xml:space="preserve">Passed 10/10</t>
  </si>
  <si>
    <t xml:space="preserve">=VALUE(TRIM(MID(SUBSTITUTE(B2,".",REPT(" ",15)),1,15)))*16777216+VALUE(TRIM(MID(SUBSTITUTE(B2,".",REPT(" ",15)),16,15)))*65536+VALUE(TRIM(MID(SUBSTITUTE(B2,".",REPT(" ",15)),31,15)))*256+VALUE(TRIM(MID(SUBSTITUTE(B2,".",REPT(" ",15)),46,15)))=A2</t>
  </si>
  <si>
    <t xml:space="preserve">hash = 0 exactly when data is null</t>
  </si>
  <si>
    <t xml:space="preserve">hash, data</t>
  </si>
  <si>
    <t xml:space="preserve">Passed 10/10 (5 nulls, 5 zeros)</t>
  </si>
  <si>
    <t xml:space="preserve">=(A2=0)=(B2="")</t>
  </si>
  <si>
    <t xml:space="preserve">cpe23 null iff cpe null; cpe23_hash null iff cpe23 null</t>
  </si>
  <si>
    <t xml:space="preserve">cpe23, cpe, cpe23_hash</t>
  </si>
  <si>
    <t xml:space="preserve">Passed 10/10 (same 2 rows)</t>
  </si>
  <si>
    <t xml:space="preserve">=(A2="")=(B2="")</t>
  </si>
  <si>
    <t xml:space="preserve">domains empty iff hostnames empty</t>
  </si>
  <si>
    <t xml:space="preserve">domains, hostnames</t>
  </si>
  <si>
    <t xml:space="preserve">=(A2="[]")=(B2="[]")</t>
  </si>
  <si>
    <t xml:space="preserve">http.status matches first line of data</t>
  </si>
  <si>
    <t xml:space="preserve">http.status, data</t>
  </si>
  <si>
    <t xml:space="preserve">Passed 3/3 where both present (400, 403, 200)</t>
  </si>
  <si>
    <t xml:space="preserve">=ISNUMBER(SEARCH(A2,B2))</t>
  </si>
  <si>
    <t xml:space="preserve">isp null iff asn null</t>
  </si>
  <si>
    <t xml:space="preserve">isp, asn</t>
  </si>
  <si>
    <t xml:space="preserve">Passed 10/10 (1 row)</t>
  </si>
  <si>
    <t xml:space="preserve">_shodan.id unique</t>
  </si>
  <si>
    <t xml:space="preserve">=COUNTIF($A$2:$A$11,A2)=1</t>
  </si>
  <si>
    <t xml:space="preserve">Duplicate ip_str + port</t>
  </si>
  <si>
    <t xml:space="preserve">ip_str, port</t>
  </si>
  <si>
    <t xml:space="preserve">No duplicates (7171 and 12304 repeat but on different IPs)</t>
  </si>
  <si>
    <t xml:space="preserve">=COUNTIFS($A$2:$A$11,A2,$B$2:$B$11,B2)&gt;1</t>
  </si>
  <si>
    <t xml:space="preserve">Cell exceeds Excel 32,767 chars</t>
  </si>
  <si>
    <t xml:space="preserve">http, screenshot</t>
  </si>
  <si>
    <t xml:space="preserve">FAILED: http row 7 is ~34,410 chars; screenshot data is also large</t>
  </si>
  <si>
    <t xml:space="preserve">Empty string vs NULL consistency</t>
  </si>
  <si>
    <t xml:space="preserve">location.region_code, _shodan.region, http.html</t>
  </si>
  <si>
    <t xml:space="preserve">Mixed: '' appears in location.region_code (1), _shodan.region (1), http.html (1)</t>
  </si>
  <si>
    <t xml:space="preserve">Top-level title/html vs http.title/html</t>
  </si>
  <si>
    <t xml:space="preserve">title, html, http.title, http.html</t>
  </si>
  <si>
    <t xml:space="preserve">Top-level title/html null in 10/10 while http.title/html populated - not duplicates</t>
  </si>
  <si>
    <t xml:space="preserve">=AND(A2="",B2&lt;&gt;"")</t>
  </si>
  <si>
    <t xml:space="preserve">Non-null (of 10)</t>
  </si>
  <si>
    <t xml:space="preserve">Null (of 10)</t>
  </si>
  <si>
    <t xml:space="preserve">Null %</t>
  </si>
  <si>
    <t xml:space="preserve">Distinct non-null</t>
  </si>
  <si>
    <t xml:space="preserve">Source: bronze_sample_10_rows.csv (10 rows x 62 columns). Counts of non-null/distinct are values read from that file; null counts and % are formulas.</t>
  </si>
  <si>
    <t xml:space="preserve">Notes on this version</t>
  </si>
  <si>
    <t xml:space="preserve">1. Every description is based only on the 10-row sample. Where a column was null in all 10 rows, the dictionary says so and does not guess a meaning.</t>
  </si>
  <si>
    <t xml:space="preserve">2. Types come from the DuckDB schema you pasted earlier. Struct/map/list columns appear in the CSV as text like {'k': v} or ['x'].</t>
  </si>
  <si>
    <t xml:space="preserve">3. Example formulas are text and assume the field is in column A, rows 2-11. Change the range for a bigger dataset.</t>
  </si>
  <si>
    <t xml:space="preserve">4. With only 10 rows, 'allowed lists' (tags, module, devicetype) are what was seen so far, not complete lists. Re-profile on a larger extract.</t>
  </si>
  <si>
    <t xml:space="preserve">5. Corrections vs the earlier version: top-level title/html are NOT copies of http.title/http.html; cpe23 values are short (not full 13-part strings); hash can be negative and is 0 when data is null.</t>
  </si>
  <si>
    <t xml:space="preserve">7. Sales-intelligence columns: Shodan data describes IP addresses and services, not companies. To use it, first attribute IPs to a company (domains, hostnames, org, asn, ssl certificate subject), then score exposure signals (vulns, tags, risky ports, outdated software), then route by location.</t>
  </si>
  <si>
    <t xml:space="preserve">Source</t>
  </si>
  <si>
    <t xml:space="preserve">URL</t>
  </si>
  <si>
    <t xml:space="preserve">Used for</t>
  </si>
  <si>
    <t xml:space="preserve">Shodan Datapedia - overview / general properties</t>
  </si>
  <si>
    <t xml:space="preserve">Top-level fields: os, version, ipv6, title (deprecated), html (deprecated), mac, vulns, tags list</t>
  </si>
  <si>
    <t xml:space="preserve">Shodan Datapedia - ntp page</t>
  </si>
  <si>
    <t xml:space="preserve">ntp fields and the monlist DDoS-reflection note</t>
  </si>
  <si>
    <t xml:space="preserve">Shodan Datapedia - protocol property pages</t>
  </si>
  <si>
    <t xml:space="preserve">https://datapedia.shodan.io/property/&lt;name&gt;.html</t>
  </si>
  <si>
    <t xml:space="preserve">Confirms each protocol/product property exists and lists its fields. Pages contain field tables and example data but mostly no prose</t>
  </si>
  <si>
    <t xml:space="preserve">Shodan blog - SSL update</t>
  </si>
  <si>
    <t xml:space="preserve">What the ssl property contains (cert, chain, versions, cipher)</t>
  </si>
  <si>
    <t xml:space="preserve">Knostic - How to find an MCP server with Shodan</t>
  </si>
  <si>
    <t xml:space="preserve">How MCP servers are fingerprinted (initialize handshake)</t>
  </si>
  <si>
    <t xml:space="preserve">Honest limits: Datapedia protocol pages mostly give field tables, not written explanations. For those rows the description combines the field list from Datapedia with the standard public meaning of the protocol/product, and the 'Basis' column says so. Confidence 'High' = Datapedia or Shodan text states it; 'Medium' = listed by Datapedia, meaning from standard protocol knowledge or inferred.</t>
  </si>
  <si>
    <t xml:space="preserve">Answer</t>
  </si>
  <si>
    <t xml:space="preserve">Top-level fields</t>
  </si>
  <si>
    <t xml:space="preserve">Sub-fields</t>
  </si>
  <si>
    <t xml:space="preserve">Total</t>
  </si>
  <si>
    <t xml:space="preserve">Yes = clear signal for identifying, prioritising or targeting a business. Partial = useful only with other fields, low coverage, or narrow. No = engineering/duplicate/deprecated/empty. This is a design judgement from the field meanings and the 10-row sample, not something stated in the data. Confirm with a larger extract.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</si>
</sst>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7F3F00"/>
        <bgColor rgb="FF993366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EDEDED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E2EFDA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7F3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F3F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4" min="3" style="1" width="14"/>
    <col collapsed="false" customWidth="true" hidden="false" outlineLevel="0" max="5" min="5" style="1" width="45"/>
    <col collapsed="false" customWidth="true" hidden="false" outlineLevel="0" max="6" min="6" style="1" width="70"/>
    <col collapsed="false" customWidth="true" hidden="false" outlineLevel="0" max="7" min="7" style="1" width="18"/>
    <col collapsed="false" customWidth="true" hidden="false" outlineLevel="0" max="8" min="8" style="1" width="70"/>
    <col collapsed="false" customWidth="true" hidden="false" outlineLevel="0" max="9" min="9" style="1" width="45"/>
    <col collapsed="false" customWidth="true" hidden="false" outlineLevel="0" max="10" min="10" style="1" width="80"/>
    <col collapsed="false" customWidth="true" hidden="false" outlineLevel="0" max="12" min="11" style="1" width="40"/>
    <col collapsed="false" customWidth="true" hidden="false" outlineLevel="0" max="13" min="13" style="1" width="12"/>
    <col collapsed="false" customWidth="true" hidden="false" outlineLevel="0" max="14" min="14" style="0" width="22"/>
    <col collapsed="false" customWidth="true" hidden="false" outlineLevel="0" max="15" min="15" style="0" width="20"/>
    <col collapsed="false" customWidth="true" hidden="false" outlineLevel="0" max="16" min="16" style="0" width="70"/>
    <col collapsed="false" customWidth="true" hidden="false" outlineLevel="0" max="17" min="17" style="0" width="60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customFormat="false" ht="90.75" hidden="false" customHeight="true" outlineLevel="0" collapsed="false">
      <c r="A2" s="5" t="s">
        <v>17</v>
      </c>
      <c r="B2" s="5" t="s">
        <v>18</v>
      </c>
      <c r="C2" s="5" t="n">
        <v>5</v>
      </c>
      <c r="D2" s="5" t="n">
        <v>923</v>
      </c>
      <c r="E2" s="5" t="s">
        <v>19</v>
      </c>
      <c r="F2" s="5" t="s">
        <v>20</v>
      </c>
      <c r="G2" s="6" t="s">
        <v>21</v>
      </c>
      <c r="H2" s="5" t="s">
        <v>22</v>
      </c>
      <c r="I2" s="5" t="s">
        <v>23</v>
      </c>
      <c r="J2" s="5" t="s">
        <v>24</v>
      </c>
      <c r="K2" s="5"/>
      <c r="L2" s="5"/>
      <c r="M2" s="5"/>
      <c r="N2" s="7" t="s">
        <v>25</v>
      </c>
      <c r="O2" s="5" t="s">
        <v>26</v>
      </c>
      <c r="P2" s="5" t="s">
        <v>27</v>
      </c>
      <c r="Q2" s="5"/>
    </row>
    <row r="3" customFormat="false" ht="23.25" hidden="false" customHeight="true" outlineLevel="0" collapsed="false">
      <c r="A3" s="5" t="s">
        <v>28</v>
      </c>
      <c r="B3" s="5" t="s">
        <v>29</v>
      </c>
      <c r="C3" s="5" t="n">
        <v>10</v>
      </c>
      <c r="D3" s="5" t="n">
        <v>53</v>
      </c>
      <c r="E3" s="5" t="s">
        <v>30</v>
      </c>
      <c r="F3" s="5" t="s">
        <v>31</v>
      </c>
      <c r="G3" s="6" t="s">
        <v>21</v>
      </c>
      <c r="H3" s="5" t="s">
        <v>32</v>
      </c>
      <c r="I3" s="5" t="s">
        <v>33</v>
      </c>
      <c r="J3" s="5" t="s">
        <v>24</v>
      </c>
      <c r="K3" s="5"/>
      <c r="L3" s="5"/>
      <c r="M3" s="5"/>
      <c r="N3" s="8" t="s">
        <v>34</v>
      </c>
      <c r="O3" s="5"/>
      <c r="P3" s="5"/>
      <c r="Q3" s="5" t="s">
        <v>35</v>
      </c>
    </row>
    <row r="4" customFormat="false" ht="34.5" hidden="false" customHeight="true" outlineLevel="0" collapsed="false">
      <c r="A4" s="5" t="s">
        <v>36</v>
      </c>
      <c r="B4" s="5" t="s">
        <v>37</v>
      </c>
      <c r="C4" s="5" t="n">
        <v>10</v>
      </c>
      <c r="D4" s="5" t="n">
        <v>5</v>
      </c>
      <c r="E4" s="5" t="s">
        <v>38</v>
      </c>
      <c r="F4" s="5" t="s">
        <v>39</v>
      </c>
      <c r="G4" s="6" t="s">
        <v>21</v>
      </c>
      <c r="H4" s="5" t="s">
        <v>40</v>
      </c>
      <c r="I4" s="5" t="s">
        <v>41</v>
      </c>
      <c r="J4" s="5" t="s">
        <v>24</v>
      </c>
      <c r="K4" s="5"/>
      <c r="L4" s="5"/>
      <c r="M4" s="5"/>
      <c r="N4" s="9" t="s">
        <v>42</v>
      </c>
      <c r="O4" s="5" t="s">
        <v>26</v>
      </c>
      <c r="P4" s="5" t="s">
        <v>43</v>
      </c>
      <c r="Q4" s="5"/>
    </row>
    <row r="5" customFormat="false" ht="34.5" hidden="false" customHeight="true" outlineLevel="0" collapsed="false">
      <c r="A5" s="5" t="s">
        <v>44</v>
      </c>
      <c r="B5" s="5" t="s">
        <v>45</v>
      </c>
      <c r="C5" s="5" t="n">
        <v>10</v>
      </c>
      <c r="D5" s="5" t="n">
        <v>42</v>
      </c>
      <c r="E5" s="5" t="s">
        <v>46</v>
      </c>
      <c r="F5" s="5" t="s">
        <v>47</v>
      </c>
      <c r="G5" s="6" t="s">
        <v>21</v>
      </c>
      <c r="H5" s="5" t="s">
        <v>48</v>
      </c>
      <c r="I5" s="5" t="s">
        <v>49</v>
      </c>
      <c r="J5" s="5" t="s">
        <v>24</v>
      </c>
      <c r="K5" s="5"/>
      <c r="L5" s="5"/>
      <c r="M5" s="5"/>
      <c r="N5" s="9" t="s">
        <v>42</v>
      </c>
      <c r="O5" s="5" t="s">
        <v>50</v>
      </c>
      <c r="P5" s="5" t="s">
        <v>51</v>
      </c>
      <c r="Q5" s="5"/>
    </row>
    <row r="6" customFormat="false" ht="45.75" hidden="false" customHeight="true" outlineLevel="0" collapsed="false">
      <c r="A6" s="5" t="s">
        <v>52</v>
      </c>
      <c r="B6" s="5" t="s">
        <v>18</v>
      </c>
      <c r="C6" s="5" t="n">
        <v>10</v>
      </c>
      <c r="D6" s="5" t="n">
        <v>26</v>
      </c>
      <c r="E6" s="5" t="s">
        <v>53</v>
      </c>
      <c r="F6" s="5" t="s">
        <v>54</v>
      </c>
      <c r="G6" s="6" t="s">
        <v>21</v>
      </c>
      <c r="H6" s="5" t="s">
        <v>55</v>
      </c>
      <c r="I6" s="5" t="s">
        <v>56</v>
      </c>
      <c r="J6" s="5" t="s">
        <v>24</v>
      </c>
      <c r="K6" s="5"/>
      <c r="L6" s="5"/>
      <c r="M6" s="5"/>
      <c r="N6" s="9" t="s">
        <v>42</v>
      </c>
      <c r="O6" s="5" t="s">
        <v>26</v>
      </c>
      <c r="P6" s="5" t="s">
        <v>57</v>
      </c>
      <c r="Q6" s="5"/>
    </row>
    <row r="7" customFormat="false" ht="23.25" hidden="false" customHeight="true" outlineLevel="0" collapsed="false">
      <c r="A7" s="5" t="s">
        <v>58</v>
      </c>
      <c r="B7" s="5" t="s">
        <v>45</v>
      </c>
      <c r="C7" s="5" t="n">
        <v>10</v>
      </c>
      <c r="D7" s="5" t="n">
        <v>25</v>
      </c>
      <c r="E7" s="5" t="s">
        <v>59</v>
      </c>
      <c r="F7" s="5" t="s">
        <v>60</v>
      </c>
      <c r="G7" s="6" t="s">
        <v>21</v>
      </c>
      <c r="H7" s="5" t="s">
        <v>61</v>
      </c>
      <c r="I7" s="5" t="s">
        <v>62</v>
      </c>
      <c r="J7" s="5" t="s">
        <v>24</v>
      </c>
      <c r="K7" s="5"/>
      <c r="L7" s="5"/>
      <c r="M7" s="5"/>
      <c r="N7" s="9" t="s">
        <v>42</v>
      </c>
      <c r="O7" s="5" t="s">
        <v>50</v>
      </c>
      <c r="P7" s="5" t="s">
        <v>63</v>
      </c>
      <c r="Q7" s="5"/>
    </row>
    <row r="8" customFormat="false" ht="45.75" hidden="false" customHeight="true" outlineLevel="0" collapsed="false">
      <c r="A8" s="5" t="s">
        <v>64</v>
      </c>
      <c r="B8" s="5" t="s">
        <v>65</v>
      </c>
      <c r="C8" s="5" t="n">
        <v>10</v>
      </c>
      <c r="D8" s="5" t="n">
        <v>229</v>
      </c>
      <c r="E8" s="5" t="s">
        <v>66</v>
      </c>
      <c r="F8" s="5" t="s">
        <v>67</v>
      </c>
      <c r="G8" s="6" t="s">
        <v>21</v>
      </c>
      <c r="H8" s="5" t="s">
        <v>68</v>
      </c>
      <c r="I8" s="5" t="s">
        <v>69</v>
      </c>
      <c r="J8" s="5" t="s">
        <v>24</v>
      </c>
      <c r="K8" s="5"/>
      <c r="L8" s="5"/>
      <c r="M8" s="5"/>
      <c r="N8" s="9" t="s">
        <v>42</v>
      </c>
      <c r="O8" s="5" t="s">
        <v>70</v>
      </c>
      <c r="P8" s="5" t="s">
        <v>71</v>
      </c>
      <c r="Q8" s="5"/>
    </row>
    <row r="9" customFormat="false" ht="34.5" hidden="false" customHeight="true" outlineLevel="0" collapsed="false">
      <c r="A9" s="5" t="s">
        <v>72</v>
      </c>
      <c r="B9" s="5" t="s">
        <v>18</v>
      </c>
      <c r="C9" s="5" t="n">
        <v>10</v>
      </c>
      <c r="D9" s="5" t="n">
        <v>25</v>
      </c>
      <c r="E9" s="5" t="s">
        <v>73</v>
      </c>
      <c r="F9" s="5" t="s">
        <v>74</v>
      </c>
      <c r="G9" s="6" t="s">
        <v>21</v>
      </c>
      <c r="H9" s="5" t="s">
        <v>75</v>
      </c>
      <c r="I9" s="5" t="s">
        <v>76</v>
      </c>
      <c r="J9" s="5" t="s">
        <v>24</v>
      </c>
      <c r="K9" s="5"/>
      <c r="L9" s="5"/>
      <c r="M9" s="5"/>
      <c r="N9" s="9" t="s">
        <v>42</v>
      </c>
      <c r="O9" s="5" t="s">
        <v>50</v>
      </c>
      <c r="P9" s="5" t="s">
        <v>77</v>
      </c>
      <c r="Q9" s="5"/>
    </row>
    <row r="10" customFormat="false" ht="23.25" hidden="false" customHeight="true" outlineLevel="0" collapsed="false">
      <c r="A10" s="5" t="s">
        <v>78</v>
      </c>
      <c r="B10" s="5" t="s">
        <v>18</v>
      </c>
      <c r="C10" s="5" t="n">
        <v>9</v>
      </c>
      <c r="D10" s="5" t="n">
        <v>37</v>
      </c>
      <c r="E10" s="5" t="s">
        <v>79</v>
      </c>
      <c r="F10" s="5" t="s">
        <v>80</v>
      </c>
      <c r="G10" s="6" t="s">
        <v>21</v>
      </c>
      <c r="H10" s="5" t="s">
        <v>81</v>
      </c>
      <c r="I10" s="5" t="s">
        <v>82</v>
      </c>
      <c r="J10" s="5" t="s">
        <v>24</v>
      </c>
      <c r="K10" s="5"/>
      <c r="L10" s="5"/>
      <c r="M10" s="5"/>
      <c r="N10" s="7" t="s">
        <v>25</v>
      </c>
      <c r="O10" s="5" t="s">
        <v>50</v>
      </c>
      <c r="P10" s="5" t="s">
        <v>83</v>
      </c>
      <c r="Q10" s="5"/>
    </row>
    <row r="11" customFormat="false" ht="15" hidden="false" customHeight="true" outlineLevel="0" collapsed="false">
      <c r="A11" s="5" t="s">
        <v>84</v>
      </c>
      <c r="B11" s="5" t="s">
        <v>18</v>
      </c>
      <c r="C11" s="5" t="n">
        <v>0</v>
      </c>
      <c r="D11" s="5" t="n">
        <v>0</v>
      </c>
      <c r="E11" s="5" t="s">
        <v>85</v>
      </c>
      <c r="F11" s="5" t="s">
        <v>86</v>
      </c>
      <c r="G11" s="10" t="s">
        <v>87</v>
      </c>
      <c r="H11" s="5" t="s">
        <v>88</v>
      </c>
      <c r="I11" s="5" t="s">
        <v>89</v>
      </c>
      <c r="J11" s="11" t="s">
        <v>90</v>
      </c>
      <c r="K11" s="11" t="s">
        <v>91</v>
      </c>
      <c r="L11" s="11" t="s">
        <v>92</v>
      </c>
      <c r="M11" s="11" t="s">
        <v>93</v>
      </c>
      <c r="N11" s="7" t="s">
        <v>25</v>
      </c>
      <c r="O11" s="5" t="s">
        <v>26</v>
      </c>
      <c r="P11" s="5" t="s">
        <v>94</v>
      </c>
      <c r="Q11" s="5"/>
    </row>
    <row r="12" customFormat="false" ht="23.25" hidden="false" customHeight="true" outlineLevel="0" collapsed="false">
      <c r="A12" s="5" t="s">
        <v>95</v>
      </c>
      <c r="B12" s="5" t="s">
        <v>18</v>
      </c>
      <c r="C12" s="5" t="n">
        <v>4</v>
      </c>
      <c r="D12" s="5" t="n">
        <v>14</v>
      </c>
      <c r="E12" s="5" t="s">
        <v>96</v>
      </c>
      <c r="F12" s="5" t="s">
        <v>97</v>
      </c>
      <c r="G12" s="6" t="s">
        <v>21</v>
      </c>
      <c r="H12" s="5" t="s">
        <v>98</v>
      </c>
      <c r="I12" s="5" t="s">
        <v>99</v>
      </c>
      <c r="J12" s="5" t="s">
        <v>24</v>
      </c>
      <c r="K12" s="5"/>
      <c r="L12" s="5"/>
      <c r="M12" s="5"/>
      <c r="N12" s="9" t="s">
        <v>42</v>
      </c>
      <c r="O12" s="5" t="s">
        <v>26</v>
      </c>
      <c r="P12" s="5" t="s">
        <v>100</v>
      </c>
      <c r="Q12" s="5"/>
    </row>
    <row r="13" customFormat="false" ht="34.5" hidden="false" customHeight="true" outlineLevel="0" collapsed="false">
      <c r="A13" s="5" t="s">
        <v>101</v>
      </c>
      <c r="B13" s="5" t="s">
        <v>65</v>
      </c>
      <c r="C13" s="5" t="n">
        <v>3</v>
      </c>
      <c r="D13" s="5" t="n">
        <v>34410</v>
      </c>
      <c r="E13" s="5" t="s">
        <v>102</v>
      </c>
      <c r="F13" s="5" t="s">
        <v>103</v>
      </c>
      <c r="G13" s="6" t="s">
        <v>21</v>
      </c>
      <c r="H13" s="5" t="s">
        <v>104</v>
      </c>
      <c r="I13" s="5" t="s">
        <v>105</v>
      </c>
      <c r="J13" s="5" t="s">
        <v>24</v>
      </c>
      <c r="K13" s="5"/>
      <c r="L13" s="5"/>
      <c r="M13" s="5"/>
      <c r="N13" s="9" t="s">
        <v>42</v>
      </c>
      <c r="O13" s="5" t="s">
        <v>50</v>
      </c>
      <c r="P13" s="5" t="s">
        <v>106</v>
      </c>
      <c r="Q13" s="5"/>
    </row>
    <row r="14" customFormat="false" ht="23.25" hidden="false" customHeight="true" outlineLevel="0" collapsed="false">
      <c r="A14" s="5" t="s">
        <v>107</v>
      </c>
      <c r="B14" s="5" t="s">
        <v>37</v>
      </c>
      <c r="C14" s="5" t="n">
        <v>10</v>
      </c>
      <c r="D14" s="5" t="n">
        <v>10</v>
      </c>
      <c r="E14" s="5" t="s">
        <v>108</v>
      </c>
      <c r="F14" s="5" t="s">
        <v>109</v>
      </c>
      <c r="G14" s="6" t="s">
        <v>21</v>
      </c>
      <c r="H14" s="5" t="s">
        <v>110</v>
      </c>
      <c r="I14" s="5" t="s">
        <v>111</v>
      </c>
      <c r="J14" s="5" t="s">
        <v>24</v>
      </c>
      <c r="K14" s="5"/>
      <c r="L14" s="5"/>
      <c r="M14" s="5"/>
      <c r="N14" s="8" t="s">
        <v>34</v>
      </c>
      <c r="O14" s="5"/>
      <c r="P14" s="5"/>
      <c r="Q14" s="5" t="s">
        <v>112</v>
      </c>
    </row>
    <row r="15" customFormat="false" ht="34.5" hidden="false" customHeight="true" outlineLevel="0" collapsed="false">
      <c r="A15" s="5" t="s">
        <v>113</v>
      </c>
      <c r="B15" s="5" t="s">
        <v>45</v>
      </c>
      <c r="C15" s="5" t="n">
        <v>2</v>
      </c>
      <c r="D15" s="5" t="n">
        <v>62</v>
      </c>
      <c r="E15" s="5" t="s">
        <v>114</v>
      </c>
      <c r="F15" s="5" t="s">
        <v>115</v>
      </c>
      <c r="G15" s="6" t="s">
        <v>21</v>
      </c>
      <c r="H15" s="5" t="s">
        <v>116</v>
      </c>
      <c r="I15" s="5" t="s">
        <v>117</v>
      </c>
      <c r="J15" s="5" t="s">
        <v>24</v>
      </c>
      <c r="K15" s="5"/>
      <c r="L15" s="5"/>
      <c r="M15" s="5"/>
      <c r="N15" s="9" t="s">
        <v>42</v>
      </c>
      <c r="O15" s="5" t="s">
        <v>26</v>
      </c>
      <c r="P15" s="5" t="s">
        <v>118</v>
      </c>
      <c r="Q15" s="5"/>
    </row>
    <row r="16" customFormat="false" ht="23.25" hidden="false" customHeight="true" outlineLevel="0" collapsed="false">
      <c r="A16" s="5" t="s">
        <v>119</v>
      </c>
      <c r="B16" s="5" t="s">
        <v>45</v>
      </c>
      <c r="C16" s="5" t="n">
        <v>2</v>
      </c>
      <c r="D16" s="5" t="n">
        <v>56</v>
      </c>
      <c r="E16" s="5" t="s">
        <v>120</v>
      </c>
      <c r="F16" s="5" t="s">
        <v>121</v>
      </c>
      <c r="G16" s="6" t="s">
        <v>21</v>
      </c>
      <c r="H16" s="5" t="s">
        <v>122</v>
      </c>
      <c r="I16" s="5" t="s">
        <v>123</v>
      </c>
      <c r="J16" s="5" t="s">
        <v>24</v>
      </c>
      <c r="K16" s="5"/>
      <c r="L16" s="5"/>
      <c r="M16" s="5"/>
      <c r="N16" s="8" t="s">
        <v>34</v>
      </c>
      <c r="O16" s="5"/>
      <c r="P16" s="5"/>
      <c r="Q16" s="5" t="s">
        <v>124</v>
      </c>
    </row>
    <row r="17" customFormat="false" ht="45.75" hidden="false" customHeight="true" outlineLevel="0" collapsed="false">
      <c r="A17" s="5" t="s">
        <v>125</v>
      </c>
      <c r="B17" s="5" t="s">
        <v>65</v>
      </c>
      <c r="C17" s="5" t="n">
        <v>10</v>
      </c>
      <c r="D17" s="5" t="n">
        <v>180</v>
      </c>
      <c r="E17" s="5" t="s">
        <v>126</v>
      </c>
      <c r="F17" s="5" t="s">
        <v>127</v>
      </c>
      <c r="G17" s="6" t="s">
        <v>21</v>
      </c>
      <c r="H17" s="5" t="s">
        <v>128</v>
      </c>
      <c r="I17" s="5" t="s">
        <v>69</v>
      </c>
      <c r="J17" s="5" t="s">
        <v>24</v>
      </c>
      <c r="K17" s="5"/>
      <c r="L17" s="5"/>
      <c r="M17" s="5"/>
      <c r="N17" s="8" t="s">
        <v>34</v>
      </c>
      <c r="O17" s="5"/>
      <c r="P17" s="5"/>
      <c r="Q17" s="5" t="s">
        <v>129</v>
      </c>
    </row>
    <row r="18" customFormat="false" ht="23.25" hidden="false" customHeight="true" outlineLevel="0" collapsed="false">
      <c r="A18" s="5" t="s">
        <v>130</v>
      </c>
      <c r="B18" s="5" t="s">
        <v>131</v>
      </c>
      <c r="C18" s="5" t="n">
        <v>2</v>
      </c>
      <c r="D18" s="5" t="n">
        <v>13</v>
      </c>
      <c r="E18" s="5" t="s">
        <v>132</v>
      </c>
      <c r="F18" s="5" t="s">
        <v>133</v>
      </c>
      <c r="G18" s="6" t="s">
        <v>21</v>
      </c>
      <c r="H18" s="5" t="s">
        <v>134</v>
      </c>
      <c r="I18" s="5" t="s">
        <v>135</v>
      </c>
      <c r="J18" s="5" t="s">
        <v>24</v>
      </c>
      <c r="K18" s="5"/>
      <c r="L18" s="5"/>
      <c r="M18" s="5"/>
      <c r="N18" s="8" t="s">
        <v>34</v>
      </c>
      <c r="O18" s="5"/>
      <c r="P18" s="5"/>
      <c r="Q18" s="5" t="s">
        <v>136</v>
      </c>
    </row>
    <row r="19" customFormat="false" ht="23.25" hidden="false" customHeight="true" outlineLevel="0" collapsed="false">
      <c r="A19" s="5" t="s">
        <v>137</v>
      </c>
      <c r="B19" s="5" t="s">
        <v>131</v>
      </c>
      <c r="C19" s="5" t="n">
        <v>10</v>
      </c>
      <c r="D19" s="5" t="n">
        <v>13</v>
      </c>
      <c r="E19" s="5" t="s">
        <v>138</v>
      </c>
      <c r="F19" s="5" t="s">
        <v>139</v>
      </c>
      <c r="G19" s="6" t="s">
        <v>21</v>
      </c>
      <c r="H19" s="5" t="s">
        <v>140</v>
      </c>
      <c r="I19" s="5" t="s">
        <v>141</v>
      </c>
      <c r="J19" s="5" t="s">
        <v>24</v>
      </c>
      <c r="K19" s="5"/>
      <c r="L19" s="5"/>
      <c r="M19" s="5"/>
      <c r="N19" s="8" t="s">
        <v>34</v>
      </c>
      <c r="O19" s="5"/>
      <c r="P19" s="5"/>
      <c r="Q19" s="5" t="s">
        <v>142</v>
      </c>
    </row>
    <row r="20" customFormat="false" ht="15" hidden="false" customHeight="true" outlineLevel="0" collapsed="false">
      <c r="A20" s="5" t="s">
        <v>143</v>
      </c>
      <c r="B20" s="5" t="s">
        <v>18</v>
      </c>
      <c r="C20" s="5" t="n">
        <v>10</v>
      </c>
      <c r="D20" s="5" t="n">
        <v>3</v>
      </c>
      <c r="E20" s="5" t="s">
        <v>144</v>
      </c>
      <c r="F20" s="5" t="s">
        <v>145</v>
      </c>
      <c r="G20" s="6" t="s">
        <v>21</v>
      </c>
      <c r="H20" s="5" t="s">
        <v>146</v>
      </c>
      <c r="I20" s="5" t="s">
        <v>147</v>
      </c>
      <c r="J20" s="5" t="s">
        <v>24</v>
      </c>
      <c r="K20" s="5"/>
      <c r="L20" s="5"/>
      <c r="M20" s="5"/>
      <c r="N20" s="7" t="s">
        <v>25</v>
      </c>
      <c r="O20" s="5" t="s">
        <v>26</v>
      </c>
      <c r="P20" s="5" t="s">
        <v>148</v>
      </c>
      <c r="Q20" s="5"/>
    </row>
    <row r="21" customFormat="false" ht="34.5" hidden="false" customHeight="true" outlineLevel="0" collapsed="false">
      <c r="A21" s="5" t="s">
        <v>149</v>
      </c>
      <c r="B21" s="5" t="s">
        <v>18</v>
      </c>
      <c r="C21" s="5" t="n">
        <v>10</v>
      </c>
      <c r="D21" s="5" t="n">
        <v>15</v>
      </c>
      <c r="E21" s="5" t="s">
        <v>150</v>
      </c>
      <c r="F21" s="5" t="s">
        <v>151</v>
      </c>
      <c r="G21" s="6" t="s">
        <v>21</v>
      </c>
      <c r="H21" s="5" t="s">
        <v>152</v>
      </c>
      <c r="I21" s="5" t="s">
        <v>153</v>
      </c>
      <c r="J21" s="5" t="s">
        <v>24</v>
      </c>
      <c r="K21" s="5"/>
      <c r="L21" s="5"/>
      <c r="M21" s="5"/>
      <c r="N21" s="9" t="s">
        <v>42</v>
      </c>
      <c r="O21" s="5" t="s">
        <v>50</v>
      </c>
      <c r="P21" s="5" t="s">
        <v>154</v>
      </c>
      <c r="Q21" s="5"/>
    </row>
    <row r="22" customFormat="false" ht="23.25" hidden="false" customHeight="true" outlineLevel="0" collapsed="false">
      <c r="A22" s="5" t="s">
        <v>155</v>
      </c>
      <c r="B22" s="5" t="s">
        <v>18</v>
      </c>
      <c r="C22" s="5" t="n">
        <v>9</v>
      </c>
      <c r="D22" s="5" t="n">
        <v>8</v>
      </c>
      <c r="E22" s="5" t="s">
        <v>156</v>
      </c>
      <c r="F22" s="5" t="s">
        <v>157</v>
      </c>
      <c r="G22" s="6" t="s">
        <v>21</v>
      </c>
      <c r="H22" s="5" t="s">
        <v>158</v>
      </c>
      <c r="I22" s="5" t="s">
        <v>159</v>
      </c>
      <c r="J22" s="5" t="s">
        <v>24</v>
      </c>
      <c r="K22" s="5"/>
      <c r="L22" s="5"/>
      <c r="M22" s="5"/>
      <c r="N22" s="9" t="s">
        <v>42</v>
      </c>
      <c r="O22" s="5" t="s">
        <v>50</v>
      </c>
      <c r="P22" s="5" t="s">
        <v>160</v>
      </c>
      <c r="Q22" s="5"/>
    </row>
    <row r="23" customFormat="false" ht="23.25" hidden="false" customHeight="true" outlineLevel="0" collapsed="false">
      <c r="A23" s="5" t="s">
        <v>161</v>
      </c>
      <c r="B23" s="5" t="s">
        <v>45</v>
      </c>
      <c r="C23" s="5" t="n">
        <v>4</v>
      </c>
      <c r="D23" s="5" t="n">
        <v>9</v>
      </c>
      <c r="E23" s="5" t="s">
        <v>162</v>
      </c>
      <c r="F23" s="5" t="s">
        <v>163</v>
      </c>
      <c r="G23" s="6" t="s">
        <v>21</v>
      </c>
      <c r="H23" s="5" t="s">
        <v>164</v>
      </c>
      <c r="I23" s="5" t="s">
        <v>165</v>
      </c>
      <c r="J23" s="5" t="s">
        <v>24</v>
      </c>
      <c r="K23" s="5"/>
      <c r="L23" s="5"/>
      <c r="M23" s="5"/>
      <c r="N23" s="9" t="s">
        <v>42</v>
      </c>
      <c r="O23" s="5" t="s">
        <v>26</v>
      </c>
      <c r="P23" s="5" t="s">
        <v>166</v>
      </c>
      <c r="Q23" s="5"/>
    </row>
    <row r="24" customFormat="false" ht="23.25" hidden="false" customHeight="true" outlineLevel="0" collapsed="false">
      <c r="A24" s="5" t="s">
        <v>167</v>
      </c>
      <c r="B24" s="5" t="s">
        <v>65</v>
      </c>
      <c r="C24" s="5" t="n">
        <v>1</v>
      </c>
      <c r="D24" s="5" t="n">
        <v>86</v>
      </c>
      <c r="E24" s="5" t="s">
        <v>168</v>
      </c>
      <c r="F24" s="5" t="s">
        <v>169</v>
      </c>
      <c r="G24" s="6" t="s">
        <v>21</v>
      </c>
      <c r="H24" s="5" t="s">
        <v>170</v>
      </c>
      <c r="I24" s="5" t="s">
        <v>171</v>
      </c>
      <c r="J24" s="5" t="s">
        <v>24</v>
      </c>
      <c r="K24" s="5"/>
      <c r="L24" s="5"/>
      <c r="M24" s="5"/>
      <c r="N24" s="7" t="s">
        <v>25</v>
      </c>
      <c r="O24" s="5" t="s">
        <v>26</v>
      </c>
      <c r="P24" s="5" t="s">
        <v>172</v>
      </c>
      <c r="Q24" s="5"/>
    </row>
    <row r="25" customFormat="false" ht="23.25" hidden="false" customHeight="true" outlineLevel="0" collapsed="false">
      <c r="A25" s="5" t="s">
        <v>173</v>
      </c>
      <c r="B25" s="5" t="s">
        <v>65</v>
      </c>
      <c r="C25" s="5" t="n">
        <v>2</v>
      </c>
      <c r="D25" s="5" t="n">
        <v>59</v>
      </c>
      <c r="E25" s="5" t="s">
        <v>174</v>
      </c>
      <c r="F25" s="5" t="s">
        <v>175</v>
      </c>
      <c r="G25" s="6" t="s">
        <v>21</v>
      </c>
      <c r="H25" s="5" t="s">
        <v>176</v>
      </c>
      <c r="I25" s="5" t="s">
        <v>69</v>
      </c>
      <c r="J25" s="5" t="s">
        <v>24</v>
      </c>
      <c r="K25" s="5"/>
      <c r="L25" s="5"/>
      <c r="M25" s="5"/>
      <c r="N25" s="7" t="s">
        <v>25</v>
      </c>
      <c r="O25" s="5" t="s">
        <v>70</v>
      </c>
      <c r="P25" s="5" t="s">
        <v>177</v>
      </c>
      <c r="Q25" s="5"/>
    </row>
    <row r="26" customFormat="false" ht="23.25" hidden="false" customHeight="true" outlineLevel="0" collapsed="false">
      <c r="A26" s="5" t="s">
        <v>178</v>
      </c>
      <c r="B26" s="5" t="s">
        <v>65</v>
      </c>
      <c r="C26" s="5" t="n">
        <v>1</v>
      </c>
      <c r="D26" s="5" t="n">
        <v>58252</v>
      </c>
      <c r="E26" s="5" t="s">
        <v>179</v>
      </c>
      <c r="F26" s="5" t="s">
        <v>180</v>
      </c>
      <c r="G26" s="6" t="s">
        <v>21</v>
      </c>
      <c r="H26" s="5" t="s">
        <v>181</v>
      </c>
      <c r="I26" s="5" t="s">
        <v>105</v>
      </c>
      <c r="J26" s="5" t="s">
        <v>24</v>
      </c>
      <c r="K26" s="5"/>
      <c r="L26" s="5"/>
      <c r="M26" s="5"/>
      <c r="N26" s="7" t="s">
        <v>25</v>
      </c>
      <c r="O26" s="5" t="s">
        <v>26</v>
      </c>
      <c r="P26" s="5" t="s">
        <v>182</v>
      </c>
      <c r="Q26" s="5"/>
    </row>
    <row r="27" customFormat="false" ht="23.25" hidden="false" customHeight="true" outlineLevel="0" collapsed="false">
      <c r="A27" s="5" t="s">
        <v>183</v>
      </c>
      <c r="B27" s="5" t="s">
        <v>18</v>
      </c>
      <c r="C27" s="5" t="n">
        <v>0</v>
      </c>
      <c r="D27" s="5" t="n">
        <v>0</v>
      </c>
      <c r="E27" s="5" t="s">
        <v>85</v>
      </c>
      <c r="F27" s="5" t="s">
        <v>184</v>
      </c>
      <c r="G27" s="10" t="s">
        <v>87</v>
      </c>
      <c r="H27" s="5" t="s">
        <v>185</v>
      </c>
      <c r="I27" s="5" t="s">
        <v>69</v>
      </c>
      <c r="J27" s="11" t="s">
        <v>186</v>
      </c>
      <c r="K27" s="11" t="s">
        <v>91</v>
      </c>
      <c r="L27" s="11" t="s">
        <v>187</v>
      </c>
      <c r="M27" s="11" t="s">
        <v>188</v>
      </c>
      <c r="N27" s="9" t="s">
        <v>42</v>
      </c>
      <c r="O27" s="5" t="s">
        <v>26</v>
      </c>
      <c r="P27" s="5" t="s">
        <v>189</v>
      </c>
      <c r="Q27" s="5"/>
    </row>
    <row r="28" customFormat="false" ht="15" hidden="false" customHeight="true" outlineLevel="0" collapsed="false">
      <c r="A28" s="5" t="s">
        <v>190</v>
      </c>
      <c r="B28" s="5" t="s">
        <v>18</v>
      </c>
      <c r="C28" s="5" t="n">
        <v>1</v>
      </c>
      <c r="D28" s="5" t="n">
        <v>13</v>
      </c>
      <c r="E28" s="5" t="s">
        <v>191</v>
      </c>
      <c r="F28" s="5" t="s">
        <v>192</v>
      </c>
      <c r="G28" s="6" t="s">
        <v>21</v>
      </c>
      <c r="H28" s="5" t="s">
        <v>193</v>
      </c>
      <c r="I28" s="5" t="s">
        <v>69</v>
      </c>
      <c r="J28" s="5" t="s">
        <v>24</v>
      </c>
      <c r="K28" s="5"/>
      <c r="L28" s="5"/>
      <c r="M28" s="5"/>
      <c r="N28" s="7" t="s">
        <v>25</v>
      </c>
      <c r="O28" s="5" t="s">
        <v>70</v>
      </c>
      <c r="P28" s="5" t="s">
        <v>194</v>
      </c>
      <c r="Q28" s="5"/>
    </row>
    <row r="29" customFormat="false" ht="15" hidden="false" customHeight="true" outlineLevel="0" collapsed="false">
      <c r="A29" s="5" t="s">
        <v>195</v>
      </c>
      <c r="B29" s="5" t="s">
        <v>18</v>
      </c>
      <c r="C29" s="5" t="n">
        <v>1</v>
      </c>
      <c r="D29" s="5" t="n">
        <v>11</v>
      </c>
      <c r="E29" s="5" t="s">
        <v>196</v>
      </c>
      <c r="F29" s="5" t="s">
        <v>197</v>
      </c>
      <c r="G29" s="6" t="s">
        <v>21</v>
      </c>
      <c r="H29" s="5" t="s">
        <v>198</v>
      </c>
      <c r="I29" s="5" t="s">
        <v>69</v>
      </c>
      <c r="J29" s="5" t="s">
        <v>24</v>
      </c>
      <c r="K29" s="5"/>
      <c r="L29" s="5"/>
      <c r="M29" s="5"/>
      <c r="N29" s="8" t="s">
        <v>34</v>
      </c>
      <c r="O29" s="5"/>
      <c r="P29" s="5"/>
      <c r="Q29" s="5" t="s">
        <v>199</v>
      </c>
    </row>
    <row r="30" customFormat="false" ht="23.25" hidden="false" customHeight="true" outlineLevel="0" collapsed="false">
      <c r="A30" s="5" t="s">
        <v>200</v>
      </c>
      <c r="B30" s="5" t="s">
        <v>18</v>
      </c>
      <c r="C30" s="5" t="n">
        <v>0</v>
      </c>
      <c r="D30" s="5" t="n">
        <v>0</v>
      </c>
      <c r="E30" s="5" t="s">
        <v>85</v>
      </c>
      <c r="F30" s="5" t="s">
        <v>184</v>
      </c>
      <c r="G30" s="10" t="s">
        <v>87</v>
      </c>
      <c r="H30" s="5" t="s">
        <v>185</v>
      </c>
      <c r="I30" s="5" t="s">
        <v>69</v>
      </c>
      <c r="J30" s="11" t="s">
        <v>201</v>
      </c>
      <c r="K30" s="11" t="s">
        <v>91</v>
      </c>
      <c r="L30" s="11" t="s">
        <v>187</v>
      </c>
      <c r="M30" s="11" t="s">
        <v>188</v>
      </c>
      <c r="N30" s="8" t="s">
        <v>34</v>
      </c>
      <c r="O30" s="5"/>
      <c r="P30" s="5"/>
      <c r="Q30" s="5" t="s">
        <v>202</v>
      </c>
    </row>
    <row r="31" customFormat="false" ht="23.25" hidden="false" customHeight="true" outlineLevel="0" collapsed="false">
      <c r="A31" s="5" t="s">
        <v>203</v>
      </c>
      <c r="B31" s="5" t="s">
        <v>65</v>
      </c>
      <c r="C31" s="5" t="n">
        <v>0</v>
      </c>
      <c r="D31" s="5" t="n">
        <v>0</v>
      </c>
      <c r="E31" s="5" t="s">
        <v>85</v>
      </c>
      <c r="F31" s="5" t="s">
        <v>184</v>
      </c>
      <c r="G31" s="10" t="s">
        <v>87</v>
      </c>
      <c r="H31" s="5" t="s">
        <v>204</v>
      </c>
      <c r="I31" s="5" t="s">
        <v>69</v>
      </c>
      <c r="J31" s="11" t="s">
        <v>205</v>
      </c>
      <c r="K31" s="11" t="s">
        <v>206</v>
      </c>
      <c r="L31" s="11" t="s">
        <v>207</v>
      </c>
      <c r="M31" s="11" t="s">
        <v>93</v>
      </c>
      <c r="N31" s="9" t="s">
        <v>42</v>
      </c>
      <c r="O31" s="5" t="s">
        <v>50</v>
      </c>
      <c r="P31" s="5" t="s">
        <v>208</v>
      </c>
      <c r="Q31" s="5"/>
    </row>
    <row r="32" customFormat="false" ht="23.25" hidden="false" customHeight="true" outlineLevel="0" collapsed="false">
      <c r="A32" s="5" t="s">
        <v>209</v>
      </c>
      <c r="B32" s="5" t="s">
        <v>210</v>
      </c>
      <c r="C32" s="5" t="n">
        <v>0</v>
      </c>
      <c r="D32" s="5" t="n">
        <v>0</v>
      </c>
      <c r="E32" s="5" t="s">
        <v>85</v>
      </c>
      <c r="F32" s="5" t="s">
        <v>184</v>
      </c>
      <c r="G32" s="10" t="s">
        <v>87</v>
      </c>
      <c r="H32" s="5" t="s">
        <v>211</v>
      </c>
      <c r="I32" s="5" t="s">
        <v>69</v>
      </c>
      <c r="J32" s="11" t="s">
        <v>212</v>
      </c>
      <c r="K32" s="11" t="s">
        <v>91</v>
      </c>
      <c r="L32" s="11" t="s">
        <v>213</v>
      </c>
      <c r="M32" s="11" t="s">
        <v>188</v>
      </c>
      <c r="N32" s="9" t="s">
        <v>42</v>
      </c>
      <c r="O32" s="5" t="s">
        <v>26</v>
      </c>
      <c r="P32" s="5" t="s">
        <v>214</v>
      </c>
      <c r="Q32" s="5"/>
    </row>
    <row r="33" customFormat="false" ht="23.25" hidden="false" customHeight="true" outlineLevel="0" collapsed="false">
      <c r="A33" s="5" t="s">
        <v>215</v>
      </c>
      <c r="B33" s="5" t="s">
        <v>18</v>
      </c>
      <c r="C33" s="5" t="n">
        <v>0</v>
      </c>
      <c r="D33" s="5" t="n">
        <v>0</v>
      </c>
      <c r="E33" s="5" t="s">
        <v>85</v>
      </c>
      <c r="F33" s="5" t="s">
        <v>184</v>
      </c>
      <c r="G33" s="10" t="s">
        <v>87</v>
      </c>
      <c r="H33" s="5" t="s">
        <v>185</v>
      </c>
      <c r="I33" s="5" t="s">
        <v>69</v>
      </c>
      <c r="J33" s="11" t="s">
        <v>216</v>
      </c>
      <c r="K33" s="11" t="s">
        <v>91</v>
      </c>
      <c r="L33" s="11" t="s">
        <v>92</v>
      </c>
      <c r="M33" s="11" t="s">
        <v>93</v>
      </c>
      <c r="N33" s="8" t="s">
        <v>34</v>
      </c>
      <c r="O33" s="5"/>
      <c r="P33" s="5"/>
      <c r="Q33" s="5" t="s">
        <v>217</v>
      </c>
    </row>
    <row r="34" customFormat="false" ht="23.25" hidden="false" customHeight="true" outlineLevel="0" collapsed="false">
      <c r="A34" s="5" t="s">
        <v>218</v>
      </c>
      <c r="B34" s="5" t="s">
        <v>18</v>
      </c>
      <c r="C34" s="5" t="n">
        <v>0</v>
      </c>
      <c r="D34" s="5" t="n">
        <v>0</v>
      </c>
      <c r="E34" s="5" t="s">
        <v>85</v>
      </c>
      <c r="F34" s="5" t="s">
        <v>184</v>
      </c>
      <c r="G34" s="10" t="s">
        <v>87</v>
      </c>
      <c r="H34" s="5" t="s">
        <v>185</v>
      </c>
      <c r="I34" s="5" t="s">
        <v>69</v>
      </c>
      <c r="J34" s="11" t="s">
        <v>219</v>
      </c>
      <c r="K34" s="11" t="s">
        <v>91</v>
      </c>
      <c r="L34" s="11" t="s">
        <v>92</v>
      </c>
      <c r="M34" s="11" t="s">
        <v>93</v>
      </c>
      <c r="N34" s="8" t="s">
        <v>34</v>
      </c>
      <c r="O34" s="5"/>
      <c r="P34" s="5"/>
      <c r="Q34" s="5" t="s">
        <v>220</v>
      </c>
    </row>
    <row r="35" customFormat="false" ht="23.25" hidden="false" customHeight="true" outlineLevel="0" collapsed="false">
      <c r="A35" s="5" t="s">
        <v>221</v>
      </c>
      <c r="B35" s="5" t="s">
        <v>65</v>
      </c>
      <c r="C35" s="5" t="n">
        <v>0</v>
      </c>
      <c r="D35" s="5" t="n">
        <v>0</v>
      </c>
      <c r="E35" s="5" t="s">
        <v>85</v>
      </c>
      <c r="F35" s="5" t="s">
        <v>184</v>
      </c>
      <c r="G35" s="10" t="s">
        <v>87</v>
      </c>
      <c r="H35" s="5" t="s">
        <v>204</v>
      </c>
      <c r="I35" s="5" t="s">
        <v>69</v>
      </c>
      <c r="J35" s="11" t="s">
        <v>222</v>
      </c>
      <c r="K35" s="11" t="s">
        <v>223</v>
      </c>
      <c r="L35" s="11" t="s">
        <v>213</v>
      </c>
      <c r="M35" s="11" t="s">
        <v>188</v>
      </c>
      <c r="N35" s="7" t="s">
        <v>25</v>
      </c>
      <c r="O35" s="5" t="s">
        <v>26</v>
      </c>
      <c r="P35" s="5" t="s">
        <v>224</v>
      </c>
      <c r="Q35" s="5"/>
    </row>
    <row r="36" customFormat="false" ht="23.25" hidden="false" customHeight="true" outlineLevel="0" collapsed="false">
      <c r="A36" s="5" t="s">
        <v>225</v>
      </c>
      <c r="B36" s="5" t="s">
        <v>65</v>
      </c>
      <c r="C36" s="5" t="n">
        <v>0</v>
      </c>
      <c r="D36" s="5" t="n">
        <v>0</v>
      </c>
      <c r="E36" s="5" t="s">
        <v>85</v>
      </c>
      <c r="F36" s="5" t="s">
        <v>184</v>
      </c>
      <c r="G36" s="10" t="s">
        <v>87</v>
      </c>
      <c r="H36" s="5" t="s">
        <v>204</v>
      </c>
      <c r="I36" s="5" t="s">
        <v>69</v>
      </c>
      <c r="J36" s="11" t="s">
        <v>226</v>
      </c>
      <c r="K36" s="11" t="s">
        <v>227</v>
      </c>
      <c r="L36" s="11" t="s">
        <v>213</v>
      </c>
      <c r="M36" s="11" t="s">
        <v>188</v>
      </c>
      <c r="N36" s="8" t="s">
        <v>34</v>
      </c>
      <c r="O36" s="5"/>
      <c r="P36" s="5"/>
      <c r="Q36" s="5" t="s">
        <v>228</v>
      </c>
    </row>
    <row r="37" customFormat="false" ht="23.25" hidden="false" customHeight="true" outlineLevel="0" collapsed="false">
      <c r="A37" s="5" t="s">
        <v>229</v>
      </c>
      <c r="B37" s="5" t="s">
        <v>65</v>
      </c>
      <c r="C37" s="5" t="n">
        <v>0</v>
      </c>
      <c r="D37" s="5" t="n">
        <v>0</v>
      </c>
      <c r="E37" s="5" t="s">
        <v>85</v>
      </c>
      <c r="F37" s="5" t="s">
        <v>184</v>
      </c>
      <c r="G37" s="10" t="s">
        <v>87</v>
      </c>
      <c r="H37" s="5" t="s">
        <v>204</v>
      </c>
      <c r="I37" s="5" t="s">
        <v>69</v>
      </c>
      <c r="J37" s="11" t="s">
        <v>230</v>
      </c>
      <c r="K37" s="11" t="s">
        <v>231</v>
      </c>
      <c r="L37" s="11" t="s">
        <v>213</v>
      </c>
      <c r="M37" s="11" t="s">
        <v>188</v>
      </c>
      <c r="N37" s="7" t="s">
        <v>25</v>
      </c>
      <c r="O37" s="5" t="s">
        <v>26</v>
      </c>
      <c r="P37" s="5" t="s">
        <v>232</v>
      </c>
      <c r="Q37" s="5"/>
    </row>
    <row r="38" customFormat="false" ht="23.25" hidden="false" customHeight="true" outlineLevel="0" collapsed="false">
      <c r="A38" s="5" t="s">
        <v>233</v>
      </c>
      <c r="B38" s="5" t="s">
        <v>65</v>
      </c>
      <c r="C38" s="5" t="n">
        <v>0</v>
      </c>
      <c r="D38" s="5" t="n">
        <v>0</v>
      </c>
      <c r="E38" s="5" t="s">
        <v>85</v>
      </c>
      <c r="F38" s="5" t="s">
        <v>184</v>
      </c>
      <c r="G38" s="10" t="s">
        <v>87</v>
      </c>
      <c r="H38" s="5" t="s">
        <v>204</v>
      </c>
      <c r="I38" s="5" t="s">
        <v>69</v>
      </c>
      <c r="J38" s="11" t="s">
        <v>234</v>
      </c>
      <c r="K38" s="11" t="s">
        <v>235</v>
      </c>
      <c r="L38" s="11" t="s">
        <v>213</v>
      </c>
      <c r="M38" s="11" t="s">
        <v>188</v>
      </c>
      <c r="N38" s="8" t="s">
        <v>34</v>
      </c>
      <c r="O38" s="5"/>
      <c r="P38" s="5"/>
      <c r="Q38" s="5" t="s">
        <v>236</v>
      </c>
    </row>
    <row r="39" customFormat="false" ht="23.25" hidden="false" customHeight="true" outlineLevel="0" collapsed="false">
      <c r="A39" s="5" t="s">
        <v>237</v>
      </c>
      <c r="B39" s="5" t="s">
        <v>65</v>
      </c>
      <c r="C39" s="5" t="n">
        <v>0</v>
      </c>
      <c r="D39" s="5" t="n">
        <v>0</v>
      </c>
      <c r="E39" s="5" t="s">
        <v>85</v>
      </c>
      <c r="F39" s="5" t="s">
        <v>184</v>
      </c>
      <c r="G39" s="10" t="s">
        <v>87</v>
      </c>
      <c r="H39" s="5" t="s">
        <v>204</v>
      </c>
      <c r="I39" s="5" t="s">
        <v>69</v>
      </c>
      <c r="J39" s="11" t="s">
        <v>238</v>
      </c>
      <c r="K39" s="11" t="s">
        <v>239</v>
      </c>
      <c r="L39" s="11" t="s">
        <v>213</v>
      </c>
      <c r="M39" s="11" t="s">
        <v>188</v>
      </c>
      <c r="N39" s="7" t="s">
        <v>25</v>
      </c>
      <c r="O39" s="5" t="s">
        <v>26</v>
      </c>
      <c r="P39" s="5" t="s">
        <v>240</v>
      </c>
      <c r="Q39" s="5"/>
    </row>
    <row r="40" customFormat="false" ht="23.25" hidden="false" customHeight="true" outlineLevel="0" collapsed="false">
      <c r="A40" s="5" t="s">
        <v>241</v>
      </c>
      <c r="B40" s="5" t="s">
        <v>29</v>
      </c>
      <c r="C40" s="5" t="n">
        <v>0</v>
      </c>
      <c r="D40" s="5" t="n">
        <v>0</v>
      </c>
      <c r="E40" s="5" t="s">
        <v>85</v>
      </c>
      <c r="F40" s="5" t="s">
        <v>184</v>
      </c>
      <c r="G40" s="10" t="s">
        <v>87</v>
      </c>
      <c r="H40" s="5" t="s">
        <v>242</v>
      </c>
      <c r="I40" s="5" t="s">
        <v>69</v>
      </c>
      <c r="J40" s="11" t="s">
        <v>243</v>
      </c>
      <c r="K40" s="11" t="s">
        <v>91</v>
      </c>
      <c r="L40" s="11" t="s">
        <v>92</v>
      </c>
      <c r="M40" s="11" t="s">
        <v>93</v>
      </c>
      <c r="N40" s="8" t="s">
        <v>34</v>
      </c>
      <c r="O40" s="5"/>
      <c r="P40" s="5"/>
      <c r="Q40" s="5" t="s">
        <v>244</v>
      </c>
    </row>
    <row r="41" customFormat="false" ht="23.25" hidden="false" customHeight="true" outlineLevel="0" collapsed="false">
      <c r="A41" s="5" t="s">
        <v>245</v>
      </c>
      <c r="B41" s="5" t="s">
        <v>65</v>
      </c>
      <c r="C41" s="5" t="n">
        <v>0</v>
      </c>
      <c r="D41" s="5" t="n">
        <v>0</v>
      </c>
      <c r="E41" s="5" t="s">
        <v>85</v>
      </c>
      <c r="F41" s="5" t="s">
        <v>184</v>
      </c>
      <c r="G41" s="10" t="s">
        <v>87</v>
      </c>
      <c r="H41" s="5" t="s">
        <v>204</v>
      </c>
      <c r="I41" s="5" t="s">
        <v>69</v>
      </c>
      <c r="J41" s="11" t="s">
        <v>246</v>
      </c>
      <c r="K41" s="11" t="s">
        <v>247</v>
      </c>
      <c r="L41" s="11" t="s">
        <v>213</v>
      </c>
      <c r="M41" s="11" t="s">
        <v>188</v>
      </c>
      <c r="N41" s="9" t="s">
        <v>42</v>
      </c>
      <c r="O41" s="5" t="s">
        <v>26</v>
      </c>
      <c r="P41" s="5" t="s">
        <v>248</v>
      </c>
      <c r="Q41" s="5"/>
    </row>
    <row r="42" customFormat="false" ht="23.25" hidden="false" customHeight="true" outlineLevel="0" collapsed="false">
      <c r="A42" s="5" t="s">
        <v>249</v>
      </c>
      <c r="B42" s="5" t="s">
        <v>65</v>
      </c>
      <c r="C42" s="5" t="n">
        <v>0</v>
      </c>
      <c r="D42" s="5" t="n">
        <v>0</v>
      </c>
      <c r="E42" s="5" t="s">
        <v>85</v>
      </c>
      <c r="F42" s="5" t="s">
        <v>184</v>
      </c>
      <c r="G42" s="10" t="s">
        <v>87</v>
      </c>
      <c r="H42" s="5" t="s">
        <v>204</v>
      </c>
      <c r="I42" s="5" t="s">
        <v>69</v>
      </c>
      <c r="J42" s="11" t="s">
        <v>250</v>
      </c>
      <c r="K42" s="11" t="s">
        <v>251</v>
      </c>
      <c r="L42" s="11" t="s">
        <v>92</v>
      </c>
      <c r="M42" s="11" t="s">
        <v>93</v>
      </c>
      <c r="N42" s="7" t="s">
        <v>25</v>
      </c>
      <c r="O42" s="5" t="s">
        <v>26</v>
      </c>
      <c r="P42" s="5" t="s">
        <v>252</v>
      </c>
      <c r="Q42" s="5"/>
    </row>
    <row r="43" customFormat="false" ht="23.25" hidden="false" customHeight="true" outlineLevel="0" collapsed="false">
      <c r="A43" s="5" t="s">
        <v>253</v>
      </c>
      <c r="B43" s="5" t="s">
        <v>65</v>
      </c>
      <c r="C43" s="5" t="n">
        <v>0</v>
      </c>
      <c r="D43" s="5" t="n">
        <v>0</v>
      </c>
      <c r="E43" s="5" t="s">
        <v>85</v>
      </c>
      <c r="F43" s="5" t="s">
        <v>184</v>
      </c>
      <c r="G43" s="10" t="s">
        <v>87</v>
      </c>
      <c r="H43" s="5" t="s">
        <v>204</v>
      </c>
      <c r="I43" s="5" t="s">
        <v>69</v>
      </c>
      <c r="J43" s="11" t="s">
        <v>254</v>
      </c>
      <c r="K43" s="11" t="s">
        <v>255</v>
      </c>
      <c r="L43" s="11" t="s">
        <v>213</v>
      </c>
      <c r="M43" s="11" t="s">
        <v>188</v>
      </c>
      <c r="N43" s="7" t="s">
        <v>25</v>
      </c>
      <c r="O43" s="5" t="s">
        <v>26</v>
      </c>
      <c r="P43" s="5" t="s">
        <v>256</v>
      </c>
      <c r="Q43" s="5"/>
    </row>
    <row r="44" customFormat="false" ht="23.25" hidden="false" customHeight="true" outlineLevel="0" collapsed="false">
      <c r="A44" s="5" t="s">
        <v>257</v>
      </c>
      <c r="B44" s="5" t="s">
        <v>65</v>
      </c>
      <c r="C44" s="5" t="n">
        <v>0</v>
      </c>
      <c r="D44" s="5" t="n">
        <v>0</v>
      </c>
      <c r="E44" s="5" t="s">
        <v>85</v>
      </c>
      <c r="F44" s="5" t="s">
        <v>184</v>
      </c>
      <c r="G44" s="10" t="s">
        <v>87</v>
      </c>
      <c r="H44" s="5" t="s">
        <v>204</v>
      </c>
      <c r="I44" s="5" t="s">
        <v>69</v>
      </c>
      <c r="J44" s="11" t="s">
        <v>258</v>
      </c>
      <c r="K44" s="11" t="s">
        <v>259</v>
      </c>
      <c r="L44" s="11" t="s">
        <v>213</v>
      </c>
      <c r="M44" s="11" t="s">
        <v>188</v>
      </c>
      <c r="N44" s="9" t="s">
        <v>42</v>
      </c>
      <c r="O44" s="5" t="s">
        <v>26</v>
      </c>
      <c r="P44" s="5" t="s">
        <v>260</v>
      </c>
      <c r="Q44" s="5"/>
    </row>
    <row r="45" customFormat="false" ht="23.25" hidden="false" customHeight="true" outlineLevel="0" collapsed="false">
      <c r="A45" s="5" t="s">
        <v>261</v>
      </c>
      <c r="B45" s="5" t="s">
        <v>65</v>
      </c>
      <c r="C45" s="5" t="n">
        <v>0</v>
      </c>
      <c r="D45" s="5" t="n">
        <v>0</v>
      </c>
      <c r="E45" s="5" t="s">
        <v>85</v>
      </c>
      <c r="F45" s="5" t="s">
        <v>184</v>
      </c>
      <c r="G45" s="10" t="s">
        <v>87</v>
      </c>
      <c r="H45" s="5" t="s">
        <v>204</v>
      </c>
      <c r="I45" s="5" t="s">
        <v>69</v>
      </c>
      <c r="J45" s="11" t="s">
        <v>262</v>
      </c>
      <c r="K45" s="11" t="s">
        <v>263</v>
      </c>
      <c r="L45" s="11" t="s">
        <v>213</v>
      </c>
      <c r="M45" s="11" t="s">
        <v>188</v>
      </c>
      <c r="N45" s="7" t="s">
        <v>25</v>
      </c>
      <c r="O45" s="5" t="s">
        <v>26</v>
      </c>
      <c r="P45" s="5" t="s">
        <v>264</v>
      </c>
      <c r="Q45" s="5"/>
    </row>
    <row r="46" customFormat="false" ht="23.25" hidden="false" customHeight="true" outlineLevel="0" collapsed="false">
      <c r="A46" s="5" t="s">
        <v>265</v>
      </c>
      <c r="B46" s="5" t="s">
        <v>65</v>
      </c>
      <c r="C46" s="5" t="n">
        <v>0</v>
      </c>
      <c r="D46" s="5" t="n">
        <v>0</v>
      </c>
      <c r="E46" s="5" t="s">
        <v>85</v>
      </c>
      <c r="F46" s="5" t="s">
        <v>184</v>
      </c>
      <c r="G46" s="10" t="s">
        <v>87</v>
      </c>
      <c r="H46" s="5" t="s">
        <v>204</v>
      </c>
      <c r="I46" s="5" t="s">
        <v>69</v>
      </c>
      <c r="J46" s="11" t="s">
        <v>266</v>
      </c>
      <c r="K46" s="11" t="s">
        <v>267</v>
      </c>
      <c r="L46" s="11" t="s">
        <v>213</v>
      </c>
      <c r="M46" s="11" t="s">
        <v>188</v>
      </c>
      <c r="N46" s="9" t="s">
        <v>42</v>
      </c>
      <c r="O46" s="5" t="s">
        <v>26</v>
      </c>
      <c r="P46" s="5" t="s">
        <v>268</v>
      </c>
      <c r="Q46" s="5"/>
    </row>
    <row r="47" customFormat="false" ht="23.25" hidden="false" customHeight="true" outlineLevel="0" collapsed="false">
      <c r="A47" s="5" t="s">
        <v>269</v>
      </c>
      <c r="B47" s="5" t="s">
        <v>65</v>
      </c>
      <c r="C47" s="5" t="n">
        <v>0</v>
      </c>
      <c r="D47" s="5" t="n">
        <v>0</v>
      </c>
      <c r="E47" s="5" t="s">
        <v>85</v>
      </c>
      <c r="F47" s="5" t="s">
        <v>184</v>
      </c>
      <c r="G47" s="10" t="s">
        <v>87</v>
      </c>
      <c r="H47" s="5" t="s">
        <v>204</v>
      </c>
      <c r="I47" s="5" t="s">
        <v>69</v>
      </c>
      <c r="J47" s="11" t="s">
        <v>270</v>
      </c>
      <c r="K47" s="11" t="s">
        <v>271</v>
      </c>
      <c r="L47" s="11" t="s">
        <v>213</v>
      </c>
      <c r="M47" s="11" t="s">
        <v>188</v>
      </c>
      <c r="N47" s="9" t="s">
        <v>42</v>
      </c>
      <c r="O47" s="5" t="s">
        <v>26</v>
      </c>
      <c r="P47" s="5" t="s">
        <v>272</v>
      </c>
      <c r="Q47" s="5"/>
    </row>
    <row r="48" customFormat="false" ht="23.25" hidden="false" customHeight="true" outlineLevel="0" collapsed="false">
      <c r="A48" s="5" t="s">
        <v>273</v>
      </c>
      <c r="B48" s="5" t="s">
        <v>65</v>
      </c>
      <c r="C48" s="5" t="n">
        <v>0</v>
      </c>
      <c r="D48" s="5" t="n">
        <v>0</v>
      </c>
      <c r="E48" s="5" t="s">
        <v>85</v>
      </c>
      <c r="F48" s="5" t="s">
        <v>184</v>
      </c>
      <c r="G48" s="10" t="s">
        <v>87</v>
      </c>
      <c r="H48" s="5" t="s">
        <v>204</v>
      </c>
      <c r="I48" s="5" t="s">
        <v>69</v>
      </c>
      <c r="J48" s="11" t="s">
        <v>274</v>
      </c>
      <c r="K48" s="11" t="s">
        <v>275</v>
      </c>
      <c r="L48" s="11" t="s">
        <v>213</v>
      </c>
      <c r="M48" s="11" t="s">
        <v>188</v>
      </c>
      <c r="N48" s="7" t="s">
        <v>25</v>
      </c>
      <c r="O48" s="5" t="s">
        <v>26</v>
      </c>
      <c r="P48" s="5" t="s">
        <v>276</v>
      </c>
      <c r="Q48" s="5"/>
    </row>
    <row r="49" customFormat="false" ht="23.25" hidden="false" customHeight="true" outlineLevel="0" collapsed="false">
      <c r="A49" s="5" t="s">
        <v>277</v>
      </c>
      <c r="B49" s="5" t="s">
        <v>65</v>
      </c>
      <c r="C49" s="5" t="n">
        <v>0</v>
      </c>
      <c r="D49" s="5" t="n">
        <v>0</v>
      </c>
      <c r="E49" s="5" t="s">
        <v>85</v>
      </c>
      <c r="F49" s="5" t="s">
        <v>184</v>
      </c>
      <c r="G49" s="10" t="s">
        <v>87</v>
      </c>
      <c r="H49" s="5" t="s">
        <v>204</v>
      </c>
      <c r="I49" s="5" t="s">
        <v>69</v>
      </c>
      <c r="J49" s="11" t="s">
        <v>278</v>
      </c>
      <c r="K49" s="11" t="s">
        <v>279</v>
      </c>
      <c r="L49" s="11" t="s">
        <v>213</v>
      </c>
      <c r="M49" s="11" t="s">
        <v>188</v>
      </c>
      <c r="N49" s="7" t="s">
        <v>25</v>
      </c>
      <c r="O49" s="5" t="s">
        <v>26</v>
      </c>
      <c r="P49" s="5" t="s">
        <v>280</v>
      </c>
      <c r="Q49" s="5"/>
    </row>
    <row r="50" customFormat="false" ht="23.25" hidden="false" customHeight="true" outlineLevel="0" collapsed="false">
      <c r="A50" s="5" t="s">
        <v>281</v>
      </c>
      <c r="B50" s="5" t="s">
        <v>65</v>
      </c>
      <c r="C50" s="5" t="n">
        <v>0</v>
      </c>
      <c r="D50" s="5" t="n">
        <v>0</v>
      </c>
      <c r="E50" s="5" t="s">
        <v>85</v>
      </c>
      <c r="F50" s="5" t="s">
        <v>184</v>
      </c>
      <c r="G50" s="10" t="s">
        <v>87</v>
      </c>
      <c r="H50" s="5" t="s">
        <v>204</v>
      </c>
      <c r="I50" s="5" t="s">
        <v>69</v>
      </c>
      <c r="J50" s="11" t="s">
        <v>282</v>
      </c>
      <c r="K50" s="11" t="s">
        <v>283</v>
      </c>
      <c r="L50" s="11" t="s">
        <v>213</v>
      </c>
      <c r="M50" s="11" t="s">
        <v>188</v>
      </c>
      <c r="N50" s="9" t="s">
        <v>42</v>
      </c>
      <c r="O50" s="5" t="s">
        <v>50</v>
      </c>
      <c r="P50" s="5" t="s">
        <v>284</v>
      </c>
      <c r="Q50" s="5"/>
    </row>
    <row r="51" customFormat="false" ht="23.25" hidden="false" customHeight="true" outlineLevel="0" collapsed="false">
      <c r="A51" s="5" t="s">
        <v>285</v>
      </c>
      <c r="B51" s="5" t="s">
        <v>65</v>
      </c>
      <c r="C51" s="5" t="n">
        <v>0</v>
      </c>
      <c r="D51" s="5" t="n">
        <v>0</v>
      </c>
      <c r="E51" s="5" t="s">
        <v>85</v>
      </c>
      <c r="F51" s="5" t="s">
        <v>184</v>
      </c>
      <c r="G51" s="10" t="s">
        <v>87</v>
      </c>
      <c r="H51" s="5" t="s">
        <v>204</v>
      </c>
      <c r="I51" s="5" t="s">
        <v>69</v>
      </c>
      <c r="J51" s="11" t="s">
        <v>286</v>
      </c>
      <c r="K51" s="11" t="s">
        <v>287</v>
      </c>
      <c r="L51" s="11" t="s">
        <v>213</v>
      </c>
      <c r="M51" s="11" t="s">
        <v>188</v>
      </c>
      <c r="N51" s="9" t="s">
        <v>42</v>
      </c>
      <c r="O51" s="5" t="s">
        <v>26</v>
      </c>
      <c r="P51" s="5" t="s">
        <v>288</v>
      </c>
      <c r="Q51" s="5"/>
    </row>
    <row r="52" customFormat="false" ht="23.25" hidden="false" customHeight="true" outlineLevel="0" collapsed="false">
      <c r="A52" s="5" t="s">
        <v>289</v>
      </c>
      <c r="B52" s="5" t="s">
        <v>65</v>
      </c>
      <c r="C52" s="5" t="n">
        <v>0</v>
      </c>
      <c r="D52" s="5" t="n">
        <v>0</v>
      </c>
      <c r="E52" s="5" t="s">
        <v>85</v>
      </c>
      <c r="F52" s="5" t="s">
        <v>184</v>
      </c>
      <c r="G52" s="10" t="s">
        <v>87</v>
      </c>
      <c r="H52" s="5" t="s">
        <v>204</v>
      </c>
      <c r="I52" s="5" t="s">
        <v>69</v>
      </c>
      <c r="J52" s="11" t="s">
        <v>290</v>
      </c>
      <c r="K52" s="11" t="s">
        <v>291</v>
      </c>
      <c r="L52" s="11" t="s">
        <v>213</v>
      </c>
      <c r="M52" s="11" t="s">
        <v>188</v>
      </c>
      <c r="N52" s="9" t="s">
        <v>42</v>
      </c>
      <c r="O52" s="5" t="s">
        <v>26</v>
      </c>
      <c r="P52" s="5" t="s">
        <v>292</v>
      </c>
      <c r="Q52" s="5"/>
    </row>
    <row r="53" customFormat="false" ht="23.25" hidden="false" customHeight="true" outlineLevel="0" collapsed="false">
      <c r="A53" s="5" t="s">
        <v>293</v>
      </c>
      <c r="B53" s="5" t="s">
        <v>65</v>
      </c>
      <c r="C53" s="5" t="n">
        <v>0</v>
      </c>
      <c r="D53" s="5" t="n">
        <v>0</v>
      </c>
      <c r="E53" s="5" t="s">
        <v>85</v>
      </c>
      <c r="F53" s="5" t="s">
        <v>184</v>
      </c>
      <c r="G53" s="10" t="s">
        <v>87</v>
      </c>
      <c r="H53" s="5" t="s">
        <v>204</v>
      </c>
      <c r="I53" s="5" t="s">
        <v>69</v>
      </c>
      <c r="J53" s="11" t="s">
        <v>294</v>
      </c>
      <c r="K53" s="11" t="s">
        <v>295</v>
      </c>
      <c r="L53" s="11" t="s">
        <v>213</v>
      </c>
      <c r="M53" s="11" t="s">
        <v>188</v>
      </c>
      <c r="N53" s="7" t="s">
        <v>25</v>
      </c>
      <c r="O53" s="5" t="s">
        <v>26</v>
      </c>
      <c r="P53" s="5" t="s">
        <v>296</v>
      </c>
      <c r="Q53" s="5"/>
    </row>
    <row r="54" customFormat="false" ht="23.25" hidden="false" customHeight="true" outlineLevel="0" collapsed="false">
      <c r="A54" s="5" t="s">
        <v>297</v>
      </c>
      <c r="B54" s="5" t="s">
        <v>65</v>
      </c>
      <c r="C54" s="5" t="n">
        <v>0</v>
      </c>
      <c r="D54" s="5" t="n">
        <v>0</v>
      </c>
      <c r="E54" s="5" t="s">
        <v>85</v>
      </c>
      <c r="F54" s="5" t="s">
        <v>184</v>
      </c>
      <c r="G54" s="10" t="s">
        <v>87</v>
      </c>
      <c r="H54" s="5" t="s">
        <v>204</v>
      </c>
      <c r="I54" s="5" t="s">
        <v>69</v>
      </c>
      <c r="J54" s="11" t="s">
        <v>298</v>
      </c>
      <c r="K54" s="11" t="s">
        <v>299</v>
      </c>
      <c r="L54" s="11" t="s">
        <v>213</v>
      </c>
      <c r="M54" s="11" t="s">
        <v>188</v>
      </c>
      <c r="N54" s="7" t="s">
        <v>25</v>
      </c>
      <c r="O54" s="5" t="s">
        <v>26</v>
      </c>
      <c r="P54" s="5" t="s">
        <v>300</v>
      </c>
      <c r="Q54" s="5"/>
    </row>
    <row r="55" customFormat="false" ht="23.25" hidden="false" customHeight="true" outlineLevel="0" collapsed="false">
      <c r="A55" s="5" t="s">
        <v>301</v>
      </c>
      <c r="B55" s="5" t="s">
        <v>65</v>
      </c>
      <c r="C55" s="5" t="n">
        <v>0</v>
      </c>
      <c r="D55" s="5" t="n">
        <v>0</v>
      </c>
      <c r="E55" s="5" t="s">
        <v>85</v>
      </c>
      <c r="F55" s="5" t="s">
        <v>184</v>
      </c>
      <c r="G55" s="10" t="s">
        <v>87</v>
      </c>
      <c r="H55" s="5" t="s">
        <v>204</v>
      </c>
      <c r="I55" s="5" t="s">
        <v>69</v>
      </c>
      <c r="J55" s="11" t="s">
        <v>302</v>
      </c>
      <c r="K55" s="11" t="s">
        <v>303</v>
      </c>
      <c r="L55" s="11" t="s">
        <v>213</v>
      </c>
      <c r="M55" s="11" t="s">
        <v>188</v>
      </c>
      <c r="N55" s="9" t="s">
        <v>42</v>
      </c>
      <c r="O55" s="5" t="s">
        <v>26</v>
      </c>
      <c r="P55" s="5" t="s">
        <v>304</v>
      </c>
      <c r="Q55" s="5"/>
    </row>
    <row r="56" customFormat="false" ht="23.25" hidden="false" customHeight="true" outlineLevel="0" collapsed="false">
      <c r="A56" s="5" t="s">
        <v>305</v>
      </c>
      <c r="B56" s="5" t="s">
        <v>65</v>
      </c>
      <c r="C56" s="5" t="n">
        <v>0</v>
      </c>
      <c r="D56" s="5" t="n">
        <v>0</v>
      </c>
      <c r="E56" s="5" t="s">
        <v>85</v>
      </c>
      <c r="F56" s="5" t="s">
        <v>184</v>
      </c>
      <c r="G56" s="10" t="s">
        <v>87</v>
      </c>
      <c r="H56" s="5" t="s">
        <v>204</v>
      </c>
      <c r="I56" s="5" t="s">
        <v>69</v>
      </c>
      <c r="J56" s="11" t="s">
        <v>306</v>
      </c>
      <c r="K56" s="11" t="s">
        <v>307</v>
      </c>
      <c r="L56" s="11" t="s">
        <v>213</v>
      </c>
      <c r="M56" s="11" t="s">
        <v>188</v>
      </c>
      <c r="N56" s="7" t="s">
        <v>25</v>
      </c>
      <c r="O56" s="5" t="s">
        <v>26</v>
      </c>
      <c r="P56" s="5" t="s">
        <v>308</v>
      </c>
      <c r="Q56" s="5"/>
    </row>
    <row r="57" customFormat="false" ht="23.25" hidden="false" customHeight="true" outlineLevel="0" collapsed="false">
      <c r="A57" s="5" t="s">
        <v>309</v>
      </c>
      <c r="B57" s="5" t="s">
        <v>65</v>
      </c>
      <c r="C57" s="5" t="n">
        <v>0</v>
      </c>
      <c r="D57" s="5" t="n">
        <v>0</v>
      </c>
      <c r="E57" s="5" t="s">
        <v>85</v>
      </c>
      <c r="F57" s="5" t="s">
        <v>184</v>
      </c>
      <c r="G57" s="10" t="s">
        <v>87</v>
      </c>
      <c r="H57" s="5" t="s">
        <v>204</v>
      </c>
      <c r="I57" s="5" t="s">
        <v>69</v>
      </c>
      <c r="J57" s="11" t="s">
        <v>310</v>
      </c>
      <c r="K57" s="11" t="s">
        <v>311</v>
      </c>
      <c r="L57" s="11" t="s">
        <v>213</v>
      </c>
      <c r="M57" s="11" t="s">
        <v>188</v>
      </c>
      <c r="N57" s="7" t="s">
        <v>25</v>
      </c>
      <c r="O57" s="5" t="s">
        <v>26</v>
      </c>
      <c r="P57" s="5" t="s">
        <v>312</v>
      </c>
      <c r="Q57" s="5"/>
    </row>
    <row r="58" customFormat="false" ht="23.25" hidden="false" customHeight="true" outlineLevel="0" collapsed="false">
      <c r="A58" s="5" t="s">
        <v>313</v>
      </c>
      <c r="B58" s="5" t="s">
        <v>65</v>
      </c>
      <c r="C58" s="5" t="n">
        <v>0</v>
      </c>
      <c r="D58" s="5" t="n">
        <v>0</v>
      </c>
      <c r="E58" s="5" t="s">
        <v>85</v>
      </c>
      <c r="F58" s="5" t="s">
        <v>184</v>
      </c>
      <c r="G58" s="10" t="s">
        <v>87</v>
      </c>
      <c r="H58" s="5" t="s">
        <v>204</v>
      </c>
      <c r="I58" s="5" t="s">
        <v>69</v>
      </c>
      <c r="J58" s="11" t="s">
        <v>314</v>
      </c>
      <c r="K58" s="11" t="s">
        <v>315</v>
      </c>
      <c r="L58" s="11" t="s">
        <v>213</v>
      </c>
      <c r="M58" s="11" t="s">
        <v>188</v>
      </c>
      <c r="N58" s="7" t="s">
        <v>25</v>
      </c>
      <c r="O58" s="5" t="s">
        <v>26</v>
      </c>
      <c r="P58" s="5" t="s">
        <v>316</v>
      </c>
      <c r="Q58" s="5"/>
    </row>
    <row r="59" customFormat="false" ht="23.25" hidden="false" customHeight="true" outlineLevel="0" collapsed="false">
      <c r="A59" s="5" t="s">
        <v>317</v>
      </c>
      <c r="B59" s="5" t="s">
        <v>65</v>
      </c>
      <c r="C59" s="5" t="n">
        <v>0</v>
      </c>
      <c r="D59" s="5" t="n">
        <v>0</v>
      </c>
      <c r="E59" s="5" t="s">
        <v>85</v>
      </c>
      <c r="F59" s="5" t="s">
        <v>184</v>
      </c>
      <c r="G59" s="10" t="s">
        <v>87</v>
      </c>
      <c r="H59" s="5" t="s">
        <v>204</v>
      </c>
      <c r="I59" s="5" t="s">
        <v>69</v>
      </c>
      <c r="J59" s="11" t="s">
        <v>318</v>
      </c>
      <c r="K59" s="11" t="s">
        <v>319</v>
      </c>
      <c r="L59" s="11" t="s">
        <v>213</v>
      </c>
      <c r="M59" s="11" t="s">
        <v>188</v>
      </c>
      <c r="N59" s="7" t="s">
        <v>25</v>
      </c>
      <c r="O59" s="5" t="s">
        <v>26</v>
      </c>
      <c r="P59" s="5" t="s">
        <v>320</v>
      </c>
      <c r="Q59" s="5"/>
    </row>
    <row r="60" customFormat="false" ht="23.25" hidden="false" customHeight="true" outlineLevel="0" collapsed="false">
      <c r="A60" s="5" t="s">
        <v>321</v>
      </c>
      <c r="B60" s="5" t="s">
        <v>65</v>
      </c>
      <c r="C60" s="5" t="n">
        <v>0</v>
      </c>
      <c r="D60" s="5" t="n">
        <v>0</v>
      </c>
      <c r="E60" s="5" t="s">
        <v>85</v>
      </c>
      <c r="F60" s="5" t="s">
        <v>184</v>
      </c>
      <c r="G60" s="10" t="s">
        <v>87</v>
      </c>
      <c r="H60" s="5" t="s">
        <v>204</v>
      </c>
      <c r="I60" s="5" t="s">
        <v>69</v>
      </c>
      <c r="J60" s="11" t="s">
        <v>322</v>
      </c>
      <c r="K60" s="11" t="s">
        <v>323</v>
      </c>
      <c r="L60" s="11" t="s">
        <v>213</v>
      </c>
      <c r="M60" s="11" t="s">
        <v>188</v>
      </c>
      <c r="N60" s="7" t="s">
        <v>25</v>
      </c>
      <c r="O60" s="5" t="s">
        <v>26</v>
      </c>
      <c r="P60" s="5" t="s">
        <v>324</v>
      </c>
      <c r="Q60" s="5"/>
    </row>
    <row r="61" customFormat="false" ht="23.25" hidden="false" customHeight="true" outlineLevel="0" collapsed="false">
      <c r="A61" s="5" t="s">
        <v>325</v>
      </c>
      <c r="B61" s="5" t="s">
        <v>65</v>
      </c>
      <c r="C61" s="5" t="n">
        <v>0</v>
      </c>
      <c r="D61" s="5" t="n">
        <v>0</v>
      </c>
      <c r="E61" s="5" t="s">
        <v>85</v>
      </c>
      <c r="F61" s="5" t="s">
        <v>184</v>
      </c>
      <c r="G61" s="10" t="s">
        <v>87</v>
      </c>
      <c r="H61" s="5" t="s">
        <v>204</v>
      </c>
      <c r="I61" s="5" t="s">
        <v>69</v>
      </c>
      <c r="J61" s="11" t="s">
        <v>326</v>
      </c>
      <c r="K61" s="11" t="s">
        <v>327</v>
      </c>
      <c r="L61" s="11" t="s">
        <v>213</v>
      </c>
      <c r="M61" s="11" t="s">
        <v>188</v>
      </c>
      <c r="N61" s="8" t="s">
        <v>34</v>
      </c>
      <c r="O61" s="5"/>
      <c r="P61" s="5"/>
      <c r="Q61" s="5" t="s">
        <v>328</v>
      </c>
    </row>
    <row r="62" customFormat="false" ht="23.25" hidden="false" customHeight="true" outlineLevel="0" collapsed="false">
      <c r="A62" s="5" t="s">
        <v>329</v>
      </c>
      <c r="B62" s="5" t="s">
        <v>65</v>
      </c>
      <c r="C62" s="5" t="n">
        <v>0</v>
      </c>
      <c r="D62" s="5" t="n">
        <v>0</v>
      </c>
      <c r="E62" s="5" t="s">
        <v>85</v>
      </c>
      <c r="F62" s="5" t="s">
        <v>184</v>
      </c>
      <c r="G62" s="10" t="s">
        <v>87</v>
      </c>
      <c r="H62" s="5" t="s">
        <v>204</v>
      </c>
      <c r="I62" s="5" t="s">
        <v>69</v>
      </c>
      <c r="J62" s="11" t="s">
        <v>330</v>
      </c>
      <c r="K62" s="11" t="s">
        <v>331</v>
      </c>
      <c r="L62" s="11" t="s">
        <v>213</v>
      </c>
      <c r="M62" s="11" t="s">
        <v>188</v>
      </c>
      <c r="N62" s="7" t="s">
        <v>25</v>
      </c>
      <c r="O62" s="5" t="s">
        <v>26</v>
      </c>
      <c r="P62" s="5" t="s">
        <v>332</v>
      </c>
      <c r="Q62" s="5"/>
    </row>
    <row r="63" customFormat="false" ht="23.25" hidden="false" customHeight="true" outlineLevel="0" collapsed="false">
      <c r="A63" s="5" t="s">
        <v>333</v>
      </c>
      <c r="B63" s="5" t="s">
        <v>65</v>
      </c>
      <c r="C63" s="5" t="n">
        <v>0</v>
      </c>
      <c r="D63" s="5" t="n">
        <v>0</v>
      </c>
      <c r="E63" s="5" t="s">
        <v>85</v>
      </c>
      <c r="F63" s="5" t="s">
        <v>184</v>
      </c>
      <c r="G63" s="10" t="s">
        <v>87</v>
      </c>
      <c r="H63" s="5" t="s">
        <v>204</v>
      </c>
      <c r="I63" s="5" t="s">
        <v>69</v>
      </c>
      <c r="J63" s="11" t="s">
        <v>334</v>
      </c>
      <c r="K63" s="11" t="s">
        <v>335</v>
      </c>
      <c r="L63" s="11" t="s">
        <v>336</v>
      </c>
      <c r="M63" s="11" t="s">
        <v>188</v>
      </c>
      <c r="N63" s="7" t="s">
        <v>25</v>
      </c>
      <c r="O63" s="5" t="s">
        <v>26</v>
      </c>
      <c r="P63" s="5" t="s">
        <v>337</v>
      </c>
      <c r="Q63" s="5"/>
    </row>
  </sheetData>
  <autoFilter ref="A1:Q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3" min="3" style="1" width="80"/>
    <col collapsed="false" customWidth="true" hidden="false" outlineLevel="0" max="4" min="4" style="1" width="70"/>
    <col collapsed="false" customWidth="true" hidden="false" outlineLevel="0" max="5" min="5" style="1" width="45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70"/>
    <col collapsed="false" customWidth="true" hidden="false" outlineLevel="0" max="9" min="9" style="0" width="60"/>
  </cols>
  <sheetData>
    <row r="1" customFormat="false" ht="15" hidden="false" customHeight="true" outlineLevel="0" collapsed="false">
      <c r="A1" s="2" t="s">
        <v>338</v>
      </c>
      <c r="B1" s="2" t="s">
        <v>339</v>
      </c>
      <c r="C1" s="2" t="s">
        <v>5</v>
      </c>
      <c r="D1" s="2" t="s">
        <v>340</v>
      </c>
      <c r="E1" s="2" t="s">
        <v>8</v>
      </c>
      <c r="F1" s="4" t="s">
        <v>13</v>
      </c>
      <c r="G1" s="4" t="s">
        <v>14</v>
      </c>
      <c r="H1" s="4" t="s">
        <v>15</v>
      </c>
      <c r="I1" s="4" t="s">
        <v>16</v>
      </c>
    </row>
    <row r="2" customFormat="false" ht="23.25" hidden="false" customHeight="true" outlineLevel="0" collapsed="false">
      <c r="A2" s="5" t="s">
        <v>341</v>
      </c>
      <c r="B2" s="5" t="s">
        <v>18</v>
      </c>
      <c r="C2" s="5" t="s">
        <v>342</v>
      </c>
      <c r="D2" s="5" t="s">
        <v>343</v>
      </c>
      <c r="E2" s="5" t="s">
        <v>344</v>
      </c>
      <c r="F2" s="9" t="s">
        <v>42</v>
      </c>
      <c r="G2" s="5" t="s">
        <v>70</v>
      </c>
      <c r="H2" s="5" t="s">
        <v>345</v>
      </c>
      <c r="I2" s="5"/>
    </row>
    <row r="3" customFormat="false" ht="15" hidden="false" customHeight="true" outlineLevel="0" collapsed="false">
      <c r="A3" s="5" t="s">
        <v>346</v>
      </c>
      <c r="B3" s="5" t="s">
        <v>18</v>
      </c>
      <c r="C3" s="5" t="s">
        <v>347</v>
      </c>
      <c r="D3" s="5" t="s">
        <v>348</v>
      </c>
      <c r="E3" s="5" t="s">
        <v>349</v>
      </c>
      <c r="F3" s="9" t="s">
        <v>42</v>
      </c>
      <c r="G3" s="5" t="s">
        <v>70</v>
      </c>
      <c r="H3" s="5" t="s">
        <v>350</v>
      </c>
      <c r="I3" s="5"/>
    </row>
    <row r="4" customFormat="false" ht="15" hidden="false" customHeight="true" outlineLevel="0" collapsed="false">
      <c r="A4" s="5" t="s">
        <v>351</v>
      </c>
      <c r="B4" s="5" t="s">
        <v>18</v>
      </c>
      <c r="C4" s="5" t="s">
        <v>352</v>
      </c>
      <c r="D4" s="5" t="s">
        <v>353</v>
      </c>
      <c r="E4" s="5" t="s">
        <v>354</v>
      </c>
      <c r="F4" s="8" t="s">
        <v>34</v>
      </c>
      <c r="G4" s="5"/>
      <c r="H4" s="5"/>
      <c r="I4" s="5" t="s">
        <v>355</v>
      </c>
    </row>
    <row r="5" customFormat="false" ht="15" hidden="false" customHeight="true" outlineLevel="0" collapsed="false">
      <c r="A5" s="5" t="s">
        <v>356</v>
      </c>
      <c r="B5" s="5" t="s">
        <v>131</v>
      </c>
      <c r="C5" s="5" t="s">
        <v>357</v>
      </c>
      <c r="D5" s="5" t="s">
        <v>358</v>
      </c>
      <c r="E5" s="5" t="s">
        <v>359</v>
      </c>
      <c r="F5" s="8" t="s">
        <v>34</v>
      </c>
      <c r="G5" s="5"/>
      <c r="H5" s="5"/>
      <c r="I5" s="5" t="s">
        <v>360</v>
      </c>
    </row>
    <row r="6" customFormat="false" ht="15" hidden="false" customHeight="true" outlineLevel="0" collapsed="false">
      <c r="A6" s="5" t="s">
        <v>361</v>
      </c>
      <c r="B6" s="5" t="s">
        <v>131</v>
      </c>
      <c r="C6" s="5" t="s">
        <v>362</v>
      </c>
      <c r="D6" s="5" t="s">
        <v>363</v>
      </c>
      <c r="E6" s="5" t="s">
        <v>364</v>
      </c>
      <c r="F6" s="8" t="s">
        <v>34</v>
      </c>
      <c r="G6" s="5"/>
      <c r="H6" s="5"/>
      <c r="I6" s="5" t="s">
        <v>365</v>
      </c>
    </row>
    <row r="7" customFormat="false" ht="23.25" hidden="false" customHeight="true" outlineLevel="0" collapsed="false">
      <c r="A7" s="5" t="s">
        <v>366</v>
      </c>
      <c r="B7" s="5" t="s">
        <v>18</v>
      </c>
      <c r="C7" s="5" t="s">
        <v>367</v>
      </c>
      <c r="D7" s="5" t="s">
        <v>368</v>
      </c>
      <c r="E7" s="5" t="s">
        <v>369</v>
      </c>
      <c r="F7" s="7" t="s">
        <v>25</v>
      </c>
      <c r="G7" s="5" t="s">
        <v>70</v>
      </c>
      <c r="H7" s="5" t="s">
        <v>370</v>
      </c>
      <c r="I7" s="5"/>
    </row>
    <row r="8" customFormat="false" ht="23.25" hidden="false" customHeight="true" outlineLevel="0" collapsed="false">
      <c r="A8" s="5" t="s">
        <v>371</v>
      </c>
      <c r="B8" s="5" t="s">
        <v>372</v>
      </c>
      <c r="C8" s="5" t="s">
        <v>373</v>
      </c>
      <c r="D8" s="5" t="s">
        <v>374</v>
      </c>
      <c r="E8" s="5" t="s">
        <v>69</v>
      </c>
      <c r="F8" s="8" t="s">
        <v>34</v>
      </c>
      <c r="G8" s="5"/>
      <c r="H8" s="5"/>
      <c r="I8" s="5" t="s">
        <v>375</v>
      </c>
    </row>
    <row r="9" customFormat="false" ht="15" hidden="false" customHeight="true" outlineLevel="0" collapsed="false">
      <c r="A9" s="5" t="s">
        <v>376</v>
      </c>
      <c r="B9" s="5" t="s">
        <v>18</v>
      </c>
      <c r="C9" s="5" t="s">
        <v>377</v>
      </c>
      <c r="D9" s="5" t="s">
        <v>378</v>
      </c>
      <c r="E9" s="5" t="s">
        <v>344</v>
      </c>
      <c r="F9" s="8" t="s">
        <v>34</v>
      </c>
      <c r="G9" s="5"/>
      <c r="H9" s="5"/>
      <c r="I9" s="5" t="s">
        <v>379</v>
      </c>
    </row>
    <row r="10" customFormat="false" ht="23.25" hidden="false" customHeight="true" outlineLevel="0" collapsed="false">
      <c r="A10" s="5" t="s">
        <v>380</v>
      </c>
      <c r="B10" s="5" t="s">
        <v>381</v>
      </c>
      <c r="C10" s="5" t="s">
        <v>382</v>
      </c>
      <c r="D10" s="5" t="s">
        <v>383</v>
      </c>
      <c r="E10" s="5" t="s">
        <v>384</v>
      </c>
      <c r="F10" s="8" t="s">
        <v>34</v>
      </c>
      <c r="G10" s="5"/>
      <c r="H10" s="5"/>
      <c r="I10" s="5" t="s">
        <v>385</v>
      </c>
    </row>
    <row r="11" customFormat="false" ht="15" hidden="false" customHeight="true" outlineLevel="0" collapsed="false">
      <c r="A11" s="5" t="s">
        <v>386</v>
      </c>
      <c r="B11" s="5" t="s">
        <v>18</v>
      </c>
      <c r="C11" s="5" t="s">
        <v>387</v>
      </c>
      <c r="D11" s="5" t="s">
        <v>388</v>
      </c>
      <c r="E11" s="5" t="s">
        <v>389</v>
      </c>
      <c r="F11" s="8" t="s">
        <v>34</v>
      </c>
      <c r="G11" s="5"/>
      <c r="H11" s="5"/>
      <c r="I11" s="5" t="s">
        <v>390</v>
      </c>
    </row>
    <row r="12" customFormat="false" ht="15" hidden="false" customHeight="true" outlineLevel="0" collapsed="false">
      <c r="A12" s="5" t="s">
        <v>391</v>
      </c>
      <c r="B12" s="5" t="s">
        <v>18</v>
      </c>
      <c r="C12" s="5" t="s">
        <v>392</v>
      </c>
      <c r="D12" s="5" t="s">
        <v>393</v>
      </c>
      <c r="E12" s="5" t="s">
        <v>394</v>
      </c>
      <c r="F12" s="8" t="s">
        <v>34</v>
      </c>
      <c r="G12" s="5"/>
      <c r="H12" s="5"/>
      <c r="I12" s="5" t="s">
        <v>395</v>
      </c>
    </row>
    <row r="13" customFormat="false" ht="15" hidden="false" customHeight="true" outlineLevel="0" collapsed="false">
      <c r="A13" s="5" t="s">
        <v>396</v>
      </c>
      <c r="B13" s="5" t="s">
        <v>397</v>
      </c>
      <c r="C13" s="5" t="s">
        <v>398</v>
      </c>
      <c r="D13" s="5" t="s">
        <v>399</v>
      </c>
      <c r="E13" s="5" t="s">
        <v>400</v>
      </c>
      <c r="F13" s="8" t="s">
        <v>34</v>
      </c>
      <c r="G13" s="5"/>
      <c r="H13" s="5"/>
      <c r="I13" s="5" t="s">
        <v>401</v>
      </c>
    </row>
    <row r="14" customFormat="false" ht="15" hidden="false" customHeight="true" outlineLevel="0" collapsed="false">
      <c r="A14" s="5" t="s">
        <v>402</v>
      </c>
      <c r="B14" s="5" t="s">
        <v>403</v>
      </c>
      <c r="C14" s="5" t="s">
        <v>404</v>
      </c>
      <c r="D14" s="5" t="s">
        <v>405</v>
      </c>
      <c r="E14" s="5" t="s">
        <v>33</v>
      </c>
      <c r="F14" s="8" t="s">
        <v>34</v>
      </c>
      <c r="G14" s="5"/>
      <c r="H14" s="5"/>
      <c r="I14" s="5" t="s">
        <v>406</v>
      </c>
    </row>
    <row r="15" customFormat="false" ht="23.25" hidden="false" customHeight="true" outlineLevel="0" collapsed="false">
      <c r="A15" s="5" t="s">
        <v>407</v>
      </c>
      <c r="B15" s="5" t="s">
        <v>37</v>
      </c>
      <c r="C15" s="5" t="s">
        <v>408</v>
      </c>
      <c r="D15" s="5" t="s">
        <v>409</v>
      </c>
      <c r="E15" s="5" t="s">
        <v>410</v>
      </c>
      <c r="F15" s="7" t="s">
        <v>25</v>
      </c>
      <c r="G15" s="5" t="s">
        <v>26</v>
      </c>
      <c r="H15" s="5" t="s">
        <v>411</v>
      </c>
      <c r="I15" s="5"/>
    </row>
    <row r="16" customFormat="false" ht="15" hidden="false" customHeight="true" outlineLevel="0" collapsed="false">
      <c r="A16" s="5" t="s">
        <v>412</v>
      </c>
      <c r="B16" s="5" t="s">
        <v>18</v>
      </c>
      <c r="C16" s="5" t="s">
        <v>413</v>
      </c>
      <c r="D16" s="5" t="s">
        <v>414</v>
      </c>
      <c r="E16" s="5" t="s">
        <v>415</v>
      </c>
      <c r="F16" s="8" t="s">
        <v>34</v>
      </c>
      <c r="G16" s="5"/>
      <c r="H16" s="5"/>
      <c r="I16" s="5" t="s">
        <v>416</v>
      </c>
    </row>
    <row r="17" customFormat="false" ht="23.25" hidden="false" customHeight="true" outlineLevel="0" collapsed="false">
      <c r="A17" s="5" t="s">
        <v>417</v>
      </c>
      <c r="B17" s="5" t="s">
        <v>18</v>
      </c>
      <c r="C17" s="5" t="s">
        <v>418</v>
      </c>
      <c r="D17" s="5" t="s">
        <v>419</v>
      </c>
      <c r="E17" s="5" t="s">
        <v>69</v>
      </c>
      <c r="F17" s="7" t="s">
        <v>25</v>
      </c>
      <c r="G17" s="5" t="s">
        <v>50</v>
      </c>
      <c r="H17" s="5" t="s">
        <v>420</v>
      </c>
      <c r="I17" s="5"/>
    </row>
    <row r="18" customFormat="false" ht="15" hidden="false" customHeight="true" outlineLevel="0" collapsed="false">
      <c r="A18" s="5" t="s">
        <v>421</v>
      </c>
      <c r="B18" s="5" t="s">
        <v>18</v>
      </c>
      <c r="C18" s="5" t="s">
        <v>422</v>
      </c>
      <c r="D18" s="5" t="s">
        <v>423</v>
      </c>
      <c r="E18" s="5" t="s">
        <v>424</v>
      </c>
      <c r="F18" s="9" t="s">
        <v>42</v>
      </c>
      <c r="G18" s="5" t="s">
        <v>26</v>
      </c>
      <c r="H18" s="5" t="s">
        <v>425</v>
      </c>
      <c r="I18" s="5"/>
    </row>
    <row r="19" customFormat="false" ht="23.25" hidden="false" customHeight="true" outlineLevel="0" collapsed="false">
      <c r="A19" s="5" t="s">
        <v>426</v>
      </c>
      <c r="B19" s="5" t="s">
        <v>427</v>
      </c>
      <c r="C19" s="5" t="s">
        <v>428</v>
      </c>
      <c r="D19" s="5" t="s">
        <v>429</v>
      </c>
      <c r="E19" s="5" t="s">
        <v>430</v>
      </c>
      <c r="F19" s="7" t="s">
        <v>25</v>
      </c>
      <c r="G19" s="5" t="s">
        <v>26</v>
      </c>
      <c r="H19" s="5" t="s">
        <v>431</v>
      </c>
      <c r="I19" s="5"/>
    </row>
    <row r="20" customFormat="false" ht="23.25" hidden="false" customHeight="true" outlineLevel="0" collapsed="false">
      <c r="A20" s="5" t="s">
        <v>432</v>
      </c>
      <c r="B20" s="5" t="s">
        <v>18</v>
      </c>
      <c r="C20" s="5" t="s">
        <v>433</v>
      </c>
      <c r="D20" s="5" t="s">
        <v>434</v>
      </c>
      <c r="E20" s="5" t="s">
        <v>369</v>
      </c>
      <c r="F20" s="7" t="s">
        <v>25</v>
      </c>
      <c r="G20" s="5" t="s">
        <v>50</v>
      </c>
      <c r="H20" s="5" t="s">
        <v>435</v>
      </c>
      <c r="I20" s="5"/>
    </row>
    <row r="21" customFormat="false" ht="23.25" hidden="false" customHeight="true" outlineLevel="0" collapsed="false">
      <c r="A21" s="5" t="s">
        <v>436</v>
      </c>
      <c r="B21" s="5" t="s">
        <v>131</v>
      </c>
      <c r="C21" s="5" t="s">
        <v>437</v>
      </c>
      <c r="D21" s="5" t="s">
        <v>438</v>
      </c>
      <c r="E21" s="5" t="s">
        <v>439</v>
      </c>
      <c r="F21" s="8" t="s">
        <v>34</v>
      </c>
      <c r="G21" s="5"/>
      <c r="H21" s="5"/>
      <c r="I21" s="5" t="s">
        <v>440</v>
      </c>
    </row>
    <row r="22" customFormat="false" ht="15" hidden="false" customHeight="true" outlineLevel="0" collapsed="false">
      <c r="A22" s="5" t="s">
        <v>441</v>
      </c>
      <c r="B22" s="5" t="s">
        <v>18</v>
      </c>
      <c r="C22" s="5" t="s">
        <v>442</v>
      </c>
      <c r="D22" s="5" t="s">
        <v>443</v>
      </c>
      <c r="E22" s="5" t="s">
        <v>444</v>
      </c>
      <c r="F22" s="8" t="s">
        <v>34</v>
      </c>
      <c r="G22" s="5"/>
      <c r="H22" s="5"/>
      <c r="I22" s="5" t="s">
        <v>445</v>
      </c>
    </row>
    <row r="23" customFormat="false" ht="23.25" hidden="false" customHeight="true" outlineLevel="0" collapsed="false">
      <c r="A23" s="5" t="s">
        <v>446</v>
      </c>
      <c r="B23" s="5" t="s">
        <v>403</v>
      </c>
      <c r="C23" s="5" t="s">
        <v>447</v>
      </c>
      <c r="D23" s="5" t="s">
        <v>448</v>
      </c>
      <c r="E23" s="5" t="s">
        <v>33</v>
      </c>
      <c r="F23" s="9" t="s">
        <v>42</v>
      </c>
      <c r="G23" s="5" t="s">
        <v>26</v>
      </c>
      <c r="H23" s="5" t="s">
        <v>449</v>
      </c>
      <c r="I23" s="5"/>
    </row>
    <row r="24" customFormat="false" ht="23.25" hidden="false" customHeight="true" outlineLevel="0" collapsed="false">
      <c r="A24" s="5" t="s">
        <v>450</v>
      </c>
      <c r="B24" s="5" t="s">
        <v>451</v>
      </c>
      <c r="C24" s="5" t="s">
        <v>452</v>
      </c>
      <c r="D24" s="5" t="s">
        <v>453</v>
      </c>
      <c r="E24" s="5" t="s">
        <v>69</v>
      </c>
      <c r="F24" s="7" t="s">
        <v>25</v>
      </c>
      <c r="G24" s="5" t="s">
        <v>70</v>
      </c>
      <c r="H24" s="5" t="s">
        <v>454</v>
      </c>
      <c r="I24" s="5"/>
    </row>
    <row r="25" customFormat="false" ht="15" hidden="false" customHeight="true" outlineLevel="0" collapsed="false">
      <c r="A25" s="5" t="s">
        <v>455</v>
      </c>
      <c r="B25" s="5" t="s">
        <v>45</v>
      </c>
      <c r="C25" s="5" t="s">
        <v>456</v>
      </c>
      <c r="D25" s="5" t="s">
        <v>457</v>
      </c>
      <c r="E25" s="5" t="s">
        <v>458</v>
      </c>
      <c r="F25" s="7" t="s">
        <v>25</v>
      </c>
      <c r="G25" s="5" t="s">
        <v>26</v>
      </c>
      <c r="H25" s="5" t="s">
        <v>459</v>
      </c>
      <c r="I25" s="5"/>
    </row>
  </sheetData>
  <autoFilter ref="A1:I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36"/>
    <col collapsed="false" customWidth="true" hidden="false" outlineLevel="0" max="3" min="3" style="1" width="60"/>
    <col collapsed="false" customWidth="true" hidden="false" outlineLevel="0" max="4" min="4" style="1" width="70"/>
  </cols>
  <sheetData>
    <row r="1" customFormat="false" ht="15" hidden="false" customHeight="true" outlineLevel="0" collapsed="false">
      <c r="A1" s="2" t="s">
        <v>460</v>
      </c>
      <c r="B1" s="2" t="s">
        <v>461</v>
      </c>
      <c r="C1" s="2" t="s">
        <v>462</v>
      </c>
      <c r="D1" s="2" t="s">
        <v>8</v>
      </c>
    </row>
    <row r="2" customFormat="false" ht="45.75" hidden="false" customHeight="true" outlineLevel="0" collapsed="false">
      <c r="A2" s="5" t="s">
        <v>463</v>
      </c>
      <c r="B2" s="5" t="s">
        <v>464</v>
      </c>
      <c r="C2" s="5" t="s">
        <v>465</v>
      </c>
      <c r="D2" s="5" t="s">
        <v>466</v>
      </c>
    </row>
    <row r="3" customFormat="false" ht="15" hidden="false" customHeight="true" outlineLevel="0" collapsed="false">
      <c r="A3" s="5" t="s">
        <v>467</v>
      </c>
      <c r="B3" s="5" t="s">
        <v>468</v>
      </c>
      <c r="C3" s="5" t="s">
        <v>469</v>
      </c>
      <c r="D3" s="5" t="s">
        <v>470</v>
      </c>
    </row>
    <row r="4" customFormat="false" ht="15" hidden="false" customHeight="true" outlineLevel="0" collapsed="false">
      <c r="A4" s="5" t="s">
        <v>471</v>
      </c>
      <c r="B4" s="5" t="s">
        <v>472</v>
      </c>
      <c r="C4" s="5" t="s">
        <v>473</v>
      </c>
      <c r="D4" s="5" t="s">
        <v>474</v>
      </c>
    </row>
    <row r="5" customFormat="false" ht="15" hidden="false" customHeight="true" outlineLevel="0" collapsed="false">
      <c r="A5" s="5" t="s">
        <v>475</v>
      </c>
      <c r="B5" s="5" t="s">
        <v>476</v>
      </c>
      <c r="C5" s="5" t="s">
        <v>465</v>
      </c>
      <c r="D5" s="5" t="s">
        <v>477</v>
      </c>
    </row>
    <row r="6" customFormat="false" ht="15" hidden="false" customHeight="true" outlineLevel="0" collapsed="false">
      <c r="A6" s="5" t="s">
        <v>478</v>
      </c>
      <c r="B6" s="5" t="s">
        <v>479</v>
      </c>
      <c r="C6" s="5" t="s">
        <v>480</v>
      </c>
      <c r="D6" s="5" t="s">
        <v>481</v>
      </c>
    </row>
    <row r="7" customFormat="false" ht="15" hidden="false" customHeight="true" outlineLevel="0" collapsed="false">
      <c r="A7" s="5" t="s">
        <v>482</v>
      </c>
      <c r="B7" s="5" t="s">
        <v>483</v>
      </c>
      <c r="C7" s="5" t="s">
        <v>484</v>
      </c>
      <c r="D7" s="5" t="s">
        <v>474</v>
      </c>
    </row>
    <row r="8" customFormat="false" ht="15" hidden="false" customHeight="true" outlineLevel="0" collapsed="false">
      <c r="A8" s="5" t="s">
        <v>485</v>
      </c>
      <c r="B8" s="5" t="s">
        <v>380</v>
      </c>
      <c r="C8" s="5" t="s">
        <v>465</v>
      </c>
      <c r="D8" s="5" t="s">
        <v>486</v>
      </c>
    </row>
    <row r="9" customFormat="false" ht="15" hidden="false" customHeight="true" outlineLevel="0" collapsed="false">
      <c r="A9" s="5" t="s">
        <v>487</v>
      </c>
      <c r="B9" s="5" t="s">
        <v>488</v>
      </c>
      <c r="C9" s="5" t="s">
        <v>489</v>
      </c>
      <c r="D9" s="5" t="s">
        <v>490</v>
      </c>
    </row>
    <row r="10" customFormat="false" ht="15" hidden="false" customHeight="true" outlineLevel="0" collapsed="false">
      <c r="A10" s="5" t="s">
        <v>491</v>
      </c>
      <c r="B10" s="5" t="s">
        <v>492</v>
      </c>
      <c r="C10" s="5" t="s">
        <v>493</v>
      </c>
      <c r="D10" s="5" t="s">
        <v>105</v>
      </c>
    </row>
    <row r="11" customFormat="false" ht="23.25" hidden="false" customHeight="true" outlineLevel="0" collapsed="false">
      <c r="A11" s="5" t="s">
        <v>494</v>
      </c>
      <c r="B11" s="5" t="s">
        <v>495</v>
      </c>
      <c r="C11" s="5" t="s">
        <v>496</v>
      </c>
      <c r="D11" s="5" t="s">
        <v>369</v>
      </c>
    </row>
    <row r="12" customFormat="false" ht="23.25" hidden="false" customHeight="true" outlineLevel="0" collapsed="false">
      <c r="A12" s="5" t="s">
        <v>497</v>
      </c>
      <c r="B12" s="5" t="s">
        <v>498</v>
      </c>
      <c r="C12" s="5" t="s">
        <v>499</v>
      </c>
      <c r="D12" s="5" t="s">
        <v>500</v>
      </c>
    </row>
  </sheetData>
  <autoFilter ref="A1:D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8"/>
  </cols>
  <sheetData>
    <row r="1" customFormat="false" ht="15" hidden="false" customHeight="true" outlineLevel="0" collapsed="false">
      <c r="A1" s="12" t="s">
        <v>0</v>
      </c>
      <c r="B1" s="12" t="s">
        <v>501</v>
      </c>
      <c r="C1" s="12" t="s">
        <v>502</v>
      </c>
      <c r="D1" s="12" t="s">
        <v>503</v>
      </c>
      <c r="E1" s="12" t="s">
        <v>504</v>
      </c>
    </row>
    <row r="2" customFormat="false" ht="15" hidden="false" customHeight="true" outlineLevel="0" collapsed="false">
      <c r="A2" s="13" t="s">
        <v>17</v>
      </c>
      <c r="B2" s="13" t="n">
        <v>5</v>
      </c>
      <c r="C2" s="13" t="n">
        <f aca="false">10-B2</f>
        <v>5</v>
      </c>
      <c r="D2" s="14" t="n">
        <f aca="false">C2/10</f>
        <v>0.5</v>
      </c>
      <c r="E2" s="13" t="n">
        <v>5</v>
      </c>
    </row>
    <row r="3" customFormat="false" ht="15" hidden="false" customHeight="true" outlineLevel="0" collapsed="false">
      <c r="A3" s="13" t="s">
        <v>28</v>
      </c>
      <c r="B3" s="13" t="n">
        <v>10</v>
      </c>
      <c r="C3" s="13" t="n">
        <f aca="false">10-B3</f>
        <v>0</v>
      </c>
      <c r="D3" s="14" t="n">
        <f aca="false">C3/10</f>
        <v>0</v>
      </c>
      <c r="E3" s="13" t="n">
        <v>2</v>
      </c>
    </row>
    <row r="4" customFormat="false" ht="15" hidden="false" customHeight="true" outlineLevel="0" collapsed="false">
      <c r="A4" s="13" t="s">
        <v>36</v>
      </c>
      <c r="B4" s="13" t="n">
        <v>10</v>
      </c>
      <c r="C4" s="13" t="n">
        <f aca="false">10-B4</f>
        <v>0</v>
      </c>
      <c r="D4" s="14" t="n">
        <f aca="false">C4/10</f>
        <v>0</v>
      </c>
      <c r="E4" s="13" t="n">
        <v>8</v>
      </c>
    </row>
    <row r="5" customFormat="false" ht="15" hidden="false" customHeight="true" outlineLevel="0" collapsed="false">
      <c r="A5" s="13" t="s">
        <v>44</v>
      </c>
      <c r="B5" s="13" t="n">
        <v>10</v>
      </c>
      <c r="C5" s="13" t="n">
        <f aca="false">10-B5</f>
        <v>0</v>
      </c>
      <c r="D5" s="14" t="n">
        <f aca="false">C5/10</f>
        <v>0</v>
      </c>
      <c r="E5" s="13" t="n">
        <v>7</v>
      </c>
    </row>
    <row r="6" customFormat="false" ht="15" hidden="false" customHeight="true" outlineLevel="0" collapsed="false">
      <c r="A6" s="13" t="s">
        <v>52</v>
      </c>
      <c r="B6" s="13" t="n">
        <v>10</v>
      </c>
      <c r="C6" s="13" t="n">
        <f aca="false">10-B6</f>
        <v>0</v>
      </c>
      <c r="D6" s="14" t="n">
        <f aca="false">C6/10</f>
        <v>0</v>
      </c>
      <c r="E6" s="13" t="n">
        <v>10</v>
      </c>
    </row>
    <row r="7" customFormat="false" ht="15" hidden="false" customHeight="true" outlineLevel="0" collapsed="false">
      <c r="A7" s="13" t="s">
        <v>58</v>
      </c>
      <c r="B7" s="13" t="n">
        <v>10</v>
      </c>
      <c r="C7" s="13" t="n">
        <f aca="false">10-B7</f>
        <v>0</v>
      </c>
      <c r="D7" s="14" t="n">
        <f aca="false">C7/10</f>
        <v>0</v>
      </c>
      <c r="E7" s="13" t="n">
        <v>5</v>
      </c>
    </row>
    <row r="8" customFormat="false" ht="15" hidden="false" customHeight="true" outlineLevel="0" collapsed="false">
      <c r="A8" s="13" t="s">
        <v>64</v>
      </c>
      <c r="B8" s="13" t="n">
        <v>10</v>
      </c>
      <c r="C8" s="13" t="n">
        <f aca="false">10-B8</f>
        <v>0</v>
      </c>
      <c r="D8" s="14" t="n">
        <f aca="false">C8/10</f>
        <v>0</v>
      </c>
      <c r="E8" s="13" t="n">
        <v>9</v>
      </c>
    </row>
    <row r="9" customFormat="false" ht="15" hidden="false" customHeight="true" outlineLevel="0" collapsed="false">
      <c r="A9" s="13" t="s">
        <v>72</v>
      </c>
      <c r="B9" s="13" t="n">
        <v>10</v>
      </c>
      <c r="C9" s="13" t="n">
        <f aca="false">10-B9</f>
        <v>0</v>
      </c>
      <c r="D9" s="14" t="n">
        <f aca="false">C9/10</f>
        <v>0</v>
      </c>
      <c r="E9" s="13" t="n">
        <v>8</v>
      </c>
    </row>
    <row r="10" customFormat="false" ht="15" hidden="false" customHeight="true" outlineLevel="0" collapsed="false">
      <c r="A10" s="13" t="s">
        <v>78</v>
      </c>
      <c r="B10" s="13" t="n">
        <v>9</v>
      </c>
      <c r="C10" s="13" t="n">
        <f aca="false">10-B10</f>
        <v>1</v>
      </c>
      <c r="D10" s="14" t="n">
        <f aca="false">C10/10</f>
        <v>0.1</v>
      </c>
      <c r="E10" s="13" t="n">
        <v>8</v>
      </c>
    </row>
    <row r="11" customFormat="false" ht="15" hidden="false" customHeight="true" outlineLevel="0" collapsed="false">
      <c r="A11" s="13" t="s">
        <v>84</v>
      </c>
      <c r="B11" s="13" t="n">
        <v>0</v>
      </c>
      <c r="C11" s="13" t="n">
        <f aca="false">10-B11</f>
        <v>10</v>
      </c>
      <c r="D11" s="14" t="n">
        <f aca="false">C11/10</f>
        <v>1</v>
      </c>
      <c r="E11" s="13" t="n">
        <v>0</v>
      </c>
    </row>
    <row r="12" customFormat="false" ht="15" hidden="false" customHeight="true" outlineLevel="0" collapsed="false">
      <c r="A12" s="13" t="s">
        <v>95</v>
      </c>
      <c r="B12" s="13" t="n">
        <v>4</v>
      </c>
      <c r="C12" s="13" t="n">
        <f aca="false">10-B12</f>
        <v>6</v>
      </c>
      <c r="D12" s="14" t="n">
        <f aca="false">C12/10</f>
        <v>0.6</v>
      </c>
      <c r="E12" s="13" t="n">
        <v>4</v>
      </c>
    </row>
    <row r="13" customFormat="false" ht="15" hidden="false" customHeight="true" outlineLevel="0" collapsed="false">
      <c r="A13" s="13" t="s">
        <v>101</v>
      </c>
      <c r="B13" s="13" t="n">
        <v>3</v>
      </c>
      <c r="C13" s="13" t="n">
        <f aca="false">10-B13</f>
        <v>7</v>
      </c>
      <c r="D13" s="14" t="n">
        <f aca="false">C13/10</f>
        <v>0.7</v>
      </c>
      <c r="E13" s="13" t="n">
        <v>3</v>
      </c>
    </row>
    <row r="14" customFormat="false" ht="15" hidden="false" customHeight="true" outlineLevel="0" collapsed="false">
      <c r="A14" s="13" t="s">
        <v>107</v>
      </c>
      <c r="B14" s="13" t="n">
        <v>10</v>
      </c>
      <c r="C14" s="13" t="n">
        <f aca="false">10-B14</f>
        <v>0</v>
      </c>
      <c r="D14" s="14" t="n">
        <f aca="false">C14/10</f>
        <v>0</v>
      </c>
      <c r="E14" s="13" t="n">
        <v>10</v>
      </c>
    </row>
    <row r="15" customFormat="false" ht="15" hidden="false" customHeight="true" outlineLevel="0" collapsed="false">
      <c r="A15" s="13" t="s">
        <v>113</v>
      </c>
      <c r="B15" s="13" t="n">
        <v>2</v>
      </c>
      <c r="C15" s="13" t="n">
        <f aca="false">10-B15</f>
        <v>8</v>
      </c>
      <c r="D15" s="14" t="n">
        <f aca="false">C15/10</f>
        <v>0.8</v>
      </c>
      <c r="E15" s="13" t="n">
        <v>2</v>
      </c>
    </row>
    <row r="16" customFormat="false" ht="15" hidden="false" customHeight="true" outlineLevel="0" collapsed="false">
      <c r="A16" s="13" t="s">
        <v>119</v>
      </c>
      <c r="B16" s="13" t="n">
        <v>2</v>
      </c>
      <c r="C16" s="13" t="n">
        <f aca="false">10-B16</f>
        <v>8</v>
      </c>
      <c r="D16" s="14" t="n">
        <f aca="false">C16/10</f>
        <v>0.8</v>
      </c>
      <c r="E16" s="13" t="n">
        <v>2</v>
      </c>
    </row>
    <row r="17" customFormat="false" ht="15" hidden="false" customHeight="true" outlineLevel="0" collapsed="false">
      <c r="A17" s="13" t="s">
        <v>125</v>
      </c>
      <c r="B17" s="13" t="n">
        <v>10</v>
      </c>
      <c r="C17" s="13" t="n">
        <f aca="false">10-B17</f>
        <v>0</v>
      </c>
      <c r="D17" s="14" t="n">
        <f aca="false">C17/10</f>
        <v>0</v>
      </c>
      <c r="E17" s="13" t="n">
        <v>10</v>
      </c>
    </row>
    <row r="18" customFormat="false" ht="15" hidden="false" customHeight="true" outlineLevel="0" collapsed="false">
      <c r="A18" s="13" t="s">
        <v>130</v>
      </c>
      <c r="B18" s="13" t="n">
        <v>2</v>
      </c>
      <c r="C18" s="13" t="n">
        <f aca="false">10-B18</f>
        <v>8</v>
      </c>
      <c r="D18" s="14" t="n">
        <f aca="false">C18/10</f>
        <v>0.8</v>
      </c>
      <c r="E18" s="13" t="n">
        <v>2</v>
      </c>
    </row>
    <row r="19" customFormat="false" ht="15" hidden="false" customHeight="true" outlineLevel="0" collapsed="false">
      <c r="A19" s="13" t="s">
        <v>137</v>
      </c>
      <c r="B19" s="13" t="n">
        <v>10</v>
      </c>
      <c r="C19" s="13" t="n">
        <f aca="false">10-B19</f>
        <v>0</v>
      </c>
      <c r="D19" s="14" t="n">
        <f aca="false">C19/10</f>
        <v>0</v>
      </c>
      <c r="E19" s="13" t="n">
        <v>6</v>
      </c>
    </row>
    <row r="20" customFormat="false" ht="15" hidden="false" customHeight="true" outlineLevel="0" collapsed="false">
      <c r="A20" s="13" t="s">
        <v>143</v>
      </c>
      <c r="B20" s="13" t="n">
        <v>10</v>
      </c>
      <c r="C20" s="13" t="n">
        <f aca="false">10-B20</f>
        <v>0</v>
      </c>
      <c r="D20" s="14" t="n">
        <f aca="false">C20/10</f>
        <v>0</v>
      </c>
      <c r="E20" s="13" t="n">
        <v>1</v>
      </c>
    </row>
    <row r="21" customFormat="false" ht="15" hidden="false" customHeight="true" outlineLevel="0" collapsed="false">
      <c r="A21" s="13" t="s">
        <v>149</v>
      </c>
      <c r="B21" s="13" t="n">
        <v>10</v>
      </c>
      <c r="C21" s="13" t="n">
        <f aca="false">10-B21</f>
        <v>0</v>
      </c>
      <c r="D21" s="14" t="n">
        <f aca="false">C21/10</f>
        <v>0</v>
      </c>
      <c r="E21" s="13" t="n">
        <v>10</v>
      </c>
    </row>
    <row r="22" customFormat="false" ht="15" hidden="false" customHeight="true" outlineLevel="0" collapsed="false">
      <c r="A22" s="13" t="s">
        <v>155</v>
      </c>
      <c r="B22" s="13" t="n">
        <v>9</v>
      </c>
      <c r="C22" s="13" t="n">
        <f aca="false">10-B22</f>
        <v>1</v>
      </c>
      <c r="D22" s="14" t="n">
        <f aca="false">C22/10</f>
        <v>0.1</v>
      </c>
      <c r="E22" s="13" t="n">
        <v>8</v>
      </c>
    </row>
    <row r="23" customFormat="false" ht="15" hidden="false" customHeight="true" outlineLevel="0" collapsed="false">
      <c r="A23" s="13" t="s">
        <v>161</v>
      </c>
      <c r="B23" s="13" t="n">
        <v>4</v>
      </c>
      <c r="C23" s="13" t="n">
        <f aca="false">10-B23</f>
        <v>6</v>
      </c>
      <c r="D23" s="14" t="n">
        <f aca="false">C23/10</f>
        <v>0.6</v>
      </c>
      <c r="E23" s="13" t="n">
        <v>3</v>
      </c>
    </row>
    <row r="24" customFormat="false" ht="15" hidden="false" customHeight="true" outlineLevel="0" collapsed="false">
      <c r="A24" s="13" t="s">
        <v>167</v>
      </c>
      <c r="B24" s="13" t="n">
        <v>1</v>
      </c>
      <c r="C24" s="13" t="n">
        <f aca="false">10-B24</f>
        <v>9</v>
      </c>
      <c r="D24" s="14" t="n">
        <f aca="false">C24/10</f>
        <v>0.9</v>
      </c>
      <c r="E24" s="13" t="n">
        <v>1</v>
      </c>
    </row>
    <row r="25" customFormat="false" ht="15" hidden="false" customHeight="true" outlineLevel="0" collapsed="false">
      <c r="A25" s="13" t="s">
        <v>173</v>
      </c>
      <c r="B25" s="13" t="n">
        <v>2</v>
      </c>
      <c r="C25" s="13" t="n">
        <f aca="false">10-B25</f>
        <v>8</v>
      </c>
      <c r="D25" s="14" t="n">
        <f aca="false">C25/10</f>
        <v>0.8</v>
      </c>
      <c r="E25" s="13" t="n">
        <v>1</v>
      </c>
    </row>
    <row r="26" customFormat="false" ht="15" hidden="false" customHeight="true" outlineLevel="0" collapsed="false">
      <c r="A26" s="13" t="s">
        <v>178</v>
      </c>
      <c r="B26" s="13" t="n">
        <v>1</v>
      </c>
      <c r="C26" s="13" t="n">
        <f aca="false">10-B26</f>
        <v>9</v>
      </c>
      <c r="D26" s="14" t="n">
        <f aca="false">C26/10</f>
        <v>0.9</v>
      </c>
      <c r="E26" s="13" t="n">
        <v>1</v>
      </c>
    </row>
    <row r="27" customFormat="false" ht="15" hidden="false" customHeight="true" outlineLevel="0" collapsed="false">
      <c r="A27" s="13" t="s">
        <v>183</v>
      </c>
      <c r="B27" s="13" t="n">
        <v>0</v>
      </c>
      <c r="C27" s="13" t="n">
        <f aca="false">10-B27</f>
        <v>10</v>
      </c>
      <c r="D27" s="14" t="n">
        <f aca="false">C27/10</f>
        <v>1</v>
      </c>
      <c r="E27" s="13" t="n">
        <v>0</v>
      </c>
    </row>
    <row r="28" customFormat="false" ht="15" hidden="false" customHeight="true" outlineLevel="0" collapsed="false">
      <c r="A28" s="13" t="s">
        <v>190</v>
      </c>
      <c r="B28" s="13" t="n">
        <v>1</v>
      </c>
      <c r="C28" s="13" t="n">
        <f aca="false">10-B28</f>
        <v>9</v>
      </c>
      <c r="D28" s="14" t="n">
        <f aca="false">C28/10</f>
        <v>0.9</v>
      </c>
      <c r="E28" s="13" t="n">
        <v>1</v>
      </c>
    </row>
    <row r="29" customFormat="false" ht="15" hidden="false" customHeight="true" outlineLevel="0" collapsed="false">
      <c r="A29" s="13" t="s">
        <v>195</v>
      </c>
      <c r="B29" s="13" t="n">
        <v>1</v>
      </c>
      <c r="C29" s="13" t="n">
        <f aca="false">10-B29</f>
        <v>9</v>
      </c>
      <c r="D29" s="14" t="n">
        <f aca="false">C29/10</f>
        <v>0.9</v>
      </c>
      <c r="E29" s="13" t="n">
        <v>1</v>
      </c>
    </row>
    <row r="30" customFormat="false" ht="15" hidden="false" customHeight="true" outlineLevel="0" collapsed="false">
      <c r="A30" s="13" t="s">
        <v>200</v>
      </c>
      <c r="B30" s="13" t="n">
        <v>0</v>
      </c>
      <c r="C30" s="13" t="n">
        <f aca="false">10-B30</f>
        <v>10</v>
      </c>
      <c r="D30" s="14" t="n">
        <f aca="false">C30/10</f>
        <v>1</v>
      </c>
      <c r="E30" s="13" t="n">
        <v>0</v>
      </c>
    </row>
    <row r="31" customFormat="false" ht="15" hidden="false" customHeight="true" outlineLevel="0" collapsed="false">
      <c r="A31" s="13" t="s">
        <v>203</v>
      </c>
      <c r="B31" s="13" t="n">
        <v>0</v>
      </c>
      <c r="C31" s="13" t="n">
        <f aca="false">10-B31</f>
        <v>10</v>
      </c>
      <c r="D31" s="14" t="n">
        <f aca="false">C31/10</f>
        <v>1</v>
      </c>
      <c r="E31" s="13" t="n">
        <v>0</v>
      </c>
    </row>
    <row r="32" customFormat="false" ht="15" hidden="false" customHeight="true" outlineLevel="0" collapsed="false">
      <c r="A32" s="13" t="s">
        <v>209</v>
      </c>
      <c r="B32" s="13" t="n">
        <v>0</v>
      </c>
      <c r="C32" s="13" t="n">
        <f aca="false">10-B32</f>
        <v>10</v>
      </c>
      <c r="D32" s="14" t="n">
        <f aca="false">C32/10</f>
        <v>1</v>
      </c>
      <c r="E32" s="13" t="n">
        <v>0</v>
      </c>
    </row>
    <row r="33" customFormat="false" ht="15" hidden="false" customHeight="true" outlineLevel="0" collapsed="false">
      <c r="A33" s="13" t="s">
        <v>215</v>
      </c>
      <c r="B33" s="13" t="n">
        <v>0</v>
      </c>
      <c r="C33" s="13" t="n">
        <f aca="false">10-B33</f>
        <v>10</v>
      </c>
      <c r="D33" s="14" t="n">
        <f aca="false">C33/10</f>
        <v>1</v>
      </c>
      <c r="E33" s="13" t="n">
        <v>0</v>
      </c>
    </row>
    <row r="34" customFormat="false" ht="15" hidden="false" customHeight="true" outlineLevel="0" collapsed="false">
      <c r="A34" s="13" t="s">
        <v>218</v>
      </c>
      <c r="B34" s="13" t="n">
        <v>0</v>
      </c>
      <c r="C34" s="13" t="n">
        <f aca="false">10-B34</f>
        <v>10</v>
      </c>
      <c r="D34" s="14" t="n">
        <f aca="false">C34/10</f>
        <v>1</v>
      </c>
      <c r="E34" s="13" t="n">
        <v>0</v>
      </c>
    </row>
    <row r="35" customFormat="false" ht="15" hidden="false" customHeight="true" outlineLevel="0" collapsed="false">
      <c r="A35" s="13" t="s">
        <v>221</v>
      </c>
      <c r="B35" s="13" t="n">
        <v>0</v>
      </c>
      <c r="C35" s="13" t="n">
        <f aca="false">10-B35</f>
        <v>10</v>
      </c>
      <c r="D35" s="14" t="n">
        <f aca="false">C35/10</f>
        <v>1</v>
      </c>
      <c r="E35" s="13" t="n">
        <v>0</v>
      </c>
    </row>
    <row r="36" customFormat="false" ht="15" hidden="false" customHeight="true" outlineLevel="0" collapsed="false">
      <c r="A36" s="13" t="s">
        <v>225</v>
      </c>
      <c r="B36" s="13" t="n">
        <v>0</v>
      </c>
      <c r="C36" s="13" t="n">
        <f aca="false">10-B36</f>
        <v>10</v>
      </c>
      <c r="D36" s="14" t="n">
        <f aca="false">C36/10</f>
        <v>1</v>
      </c>
      <c r="E36" s="13" t="n">
        <v>0</v>
      </c>
    </row>
    <row r="37" customFormat="false" ht="15" hidden="false" customHeight="true" outlineLevel="0" collapsed="false">
      <c r="A37" s="13" t="s">
        <v>229</v>
      </c>
      <c r="B37" s="13" t="n">
        <v>0</v>
      </c>
      <c r="C37" s="13" t="n">
        <f aca="false">10-B37</f>
        <v>10</v>
      </c>
      <c r="D37" s="14" t="n">
        <f aca="false">C37/10</f>
        <v>1</v>
      </c>
      <c r="E37" s="13" t="n">
        <v>0</v>
      </c>
    </row>
    <row r="38" customFormat="false" ht="15" hidden="false" customHeight="true" outlineLevel="0" collapsed="false">
      <c r="A38" s="13" t="s">
        <v>233</v>
      </c>
      <c r="B38" s="13" t="n">
        <v>0</v>
      </c>
      <c r="C38" s="13" t="n">
        <f aca="false">10-B38</f>
        <v>10</v>
      </c>
      <c r="D38" s="14" t="n">
        <f aca="false">C38/10</f>
        <v>1</v>
      </c>
      <c r="E38" s="13" t="n">
        <v>0</v>
      </c>
    </row>
    <row r="39" customFormat="false" ht="15" hidden="false" customHeight="true" outlineLevel="0" collapsed="false">
      <c r="A39" s="13" t="s">
        <v>237</v>
      </c>
      <c r="B39" s="13" t="n">
        <v>0</v>
      </c>
      <c r="C39" s="13" t="n">
        <f aca="false">10-B39</f>
        <v>10</v>
      </c>
      <c r="D39" s="14" t="n">
        <f aca="false">C39/10</f>
        <v>1</v>
      </c>
      <c r="E39" s="13" t="n">
        <v>0</v>
      </c>
    </row>
    <row r="40" customFormat="false" ht="15" hidden="false" customHeight="true" outlineLevel="0" collapsed="false">
      <c r="A40" s="13" t="s">
        <v>241</v>
      </c>
      <c r="B40" s="13" t="n">
        <v>0</v>
      </c>
      <c r="C40" s="13" t="n">
        <f aca="false">10-B40</f>
        <v>10</v>
      </c>
      <c r="D40" s="14" t="n">
        <f aca="false">C40/10</f>
        <v>1</v>
      </c>
      <c r="E40" s="13" t="n">
        <v>0</v>
      </c>
    </row>
    <row r="41" customFormat="false" ht="15" hidden="false" customHeight="true" outlineLevel="0" collapsed="false">
      <c r="A41" s="13" t="s">
        <v>245</v>
      </c>
      <c r="B41" s="13" t="n">
        <v>0</v>
      </c>
      <c r="C41" s="13" t="n">
        <f aca="false">10-B41</f>
        <v>10</v>
      </c>
      <c r="D41" s="14" t="n">
        <f aca="false">C41/10</f>
        <v>1</v>
      </c>
      <c r="E41" s="13" t="n">
        <v>0</v>
      </c>
    </row>
    <row r="42" customFormat="false" ht="15" hidden="false" customHeight="true" outlineLevel="0" collapsed="false">
      <c r="A42" s="13" t="s">
        <v>249</v>
      </c>
      <c r="B42" s="13" t="n">
        <v>0</v>
      </c>
      <c r="C42" s="13" t="n">
        <f aca="false">10-B42</f>
        <v>10</v>
      </c>
      <c r="D42" s="14" t="n">
        <f aca="false">C42/10</f>
        <v>1</v>
      </c>
      <c r="E42" s="13" t="n">
        <v>0</v>
      </c>
    </row>
    <row r="43" customFormat="false" ht="15" hidden="false" customHeight="true" outlineLevel="0" collapsed="false">
      <c r="A43" s="13" t="s">
        <v>253</v>
      </c>
      <c r="B43" s="13" t="n">
        <v>0</v>
      </c>
      <c r="C43" s="13" t="n">
        <f aca="false">10-B43</f>
        <v>10</v>
      </c>
      <c r="D43" s="14" t="n">
        <f aca="false">C43/10</f>
        <v>1</v>
      </c>
      <c r="E43" s="13" t="n">
        <v>0</v>
      </c>
    </row>
    <row r="44" customFormat="false" ht="15" hidden="false" customHeight="true" outlineLevel="0" collapsed="false">
      <c r="A44" s="13" t="s">
        <v>257</v>
      </c>
      <c r="B44" s="13" t="n">
        <v>0</v>
      </c>
      <c r="C44" s="13" t="n">
        <f aca="false">10-B44</f>
        <v>10</v>
      </c>
      <c r="D44" s="14" t="n">
        <f aca="false">C44/10</f>
        <v>1</v>
      </c>
      <c r="E44" s="13" t="n">
        <v>0</v>
      </c>
    </row>
    <row r="45" customFormat="false" ht="15" hidden="false" customHeight="true" outlineLevel="0" collapsed="false">
      <c r="A45" s="13" t="s">
        <v>261</v>
      </c>
      <c r="B45" s="13" t="n">
        <v>0</v>
      </c>
      <c r="C45" s="13" t="n">
        <f aca="false">10-B45</f>
        <v>10</v>
      </c>
      <c r="D45" s="14" t="n">
        <f aca="false">C45/10</f>
        <v>1</v>
      </c>
      <c r="E45" s="13" t="n">
        <v>0</v>
      </c>
    </row>
    <row r="46" customFormat="false" ht="15" hidden="false" customHeight="true" outlineLevel="0" collapsed="false">
      <c r="A46" s="13" t="s">
        <v>265</v>
      </c>
      <c r="B46" s="13" t="n">
        <v>0</v>
      </c>
      <c r="C46" s="13" t="n">
        <f aca="false">10-B46</f>
        <v>10</v>
      </c>
      <c r="D46" s="14" t="n">
        <f aca="false">C46/10</f>
        <v>1</v>
      </c>
      <c r="E46" s="13" t="n">
        <v>0</v>
      </c>
    </row>
    <row r="47" customFormat="false" ht="15" hidden="false" customHeight="true" outlineLevel="0" collapsed="false">
      <c r="A47" s="13" t="s">
        <v>269</v>
      </c>
      <c r="B47" s="13" t="n">
        <v>0</v>
      </c>
      <c r="C47" s="13" t="n">
        <f aca="false">10-B47</f>
        <v>10</v>
      </c>
      <c r="D47" s="14" t="n">
        <f aca="false">C47/10</f>
        <v>1</v>
      </c>
      <c r="E47" s="13" t="n">
        <v>0</v>
      </c>
    </row>
    <row r="48" customFormat="false" ht="15" hidden="false" customHeight="true" outlineLevel="0" collapsed="false">
      <c r="A48" s="13" t="s">
        <v>273</v>
      </c>
      <c r="B48" s="13" t="n">
        <v>0</v>
      </c>
      <c r="C48" s="13" t="n">
        <f aca="false">10-B48</f>
        <v>10</v>
      </c>
      <c r="D48" s="14" t="n">
        <f aca="false">C48/10</f>
        <v>1</v>
      </c>
      <c r="E48" s="13" t="n">
        <v>0</v>
      </c>
    </row>
    <row r="49" customFormat="false" ht="15" hidden="false" customHeight="true" outlineLevel="0" collapsed="false">
      <c r="A49" s="13" t="s">
        <v>277</v>
      </c>
      <c r="B49" s="13" t="n">
        <v>0</v>
      </c>
      <c r="C49" s="13" t="n">
        <f aca="false">10-B49</f>
        <v>10</v>
      </c>
      <c r="D49" s="14" t="n">
        <f aca="false">C49/10</f>
        <v>1</v>
      </c>
      <c r="E49" s="13" t="n">
        <v>0</v>
      </c>
    </row>
    <row r="50" customFormat="false" ht="15" hidden="false" customHeight="true" outlineLevel="0" collapsed="false">
      <c r="A50" s="13" t="s">
        <v>281</v>
      </c>
      <c r="B50" s="13" t="n">
        <v>0</v>
      </c>
      <c r="C50" s="13" t="n">
        <f aca="false">10-B50</f>
        <v>10</v>
      </c>
      <c r="D50" s="14" t="n">
        <f aca="false">C50/10</f>
        <v>1</v>
      </c>
      <c r="E50" s="13" t="n">
        <v>0</v>
      </c>
    </row>
    <row r="51" customFormat="false" ht="15" hidden="false" customHeight="true" outlineLevel="0" collapsed="false">
      <c r="A51" s="13" t="s">
        <v>285</v>
      </c>
      <c r="B51" s="13" t="n">
        <v>0</v>
      </c>
      <c r="C51" s="13" t="n">
        <f aca="false">10-B51</f>
        <v>10</v>
      </c>
      <c r="D51" s="14" t="n">
        <f aca="false">C51/10</f>
        <v>1</v>
      </c>
      <c r="E51" s="13" t="n">
        <v>0</v>
      </c>
    </row>
    <row r="52" customFormat="false" ht="15" hidden="false" customHeight="true" outlineLevel="0" collapsed="false">
      <c r="A52" s="13" t="s">
        <v>289</v>
      </c>
      <c r="B52" s="13" t="n">
        <v>0</v>
      </c>
      <c r="C52" s="13" t="n">
        <f aca="false">10-B52</f>
        <v>10</v>
      </c>
      <c r="D52" s="14" t="n">
        <f aca="false">C52/10</f>
        <v>1</v>
      </c>
      <c r="E52" s="13" t="n">
        <v>0</v>
      </c>
    </row>
    <row r="53" customFormat="false" ht="15" hidden="false" customHeight="true" outlineLevel="0" collapsed="false">
      <c r="A53" s="13" t="s">
        <v>293</v>
      </c>
      <c r="B53" s="13" t="n">
        <v>0</v>
      </c>
      <c r="C53" s="13" t="n">
        <f aca="false">10-B53</f>
        <v>10</v>
      </c>
      <c r="D53" s="14" t="n">
        <f aca="false">C53/10</f>
        <v>1</v>
      </c>
      <c r="E53" s="13" t="n">
        <v>0</v>
      </c>
    </row>
    <row r="54" customFormat="false" ht="15" hidden="false" customHeight="true" outlineLevel="0" collapsed="false">
      <c r="A54" s="13" t="s">
        <v>297</v>
      </c>
      <c r="B54" s="13" t="n">
        <v>0</v>
      </c>
      <c r="C54" s="13" t="n">
        <f aca="false">10-B54</f>
        <v>10</v>
      </c>
      <c r="D54" s="14" t="n">
        <f aca="false">C54/10</f>
        <v>1</v>
      </c>
      <c r="E54" s="13" t="n">
        <v>0</v>
      </c>
    </row>
    <row r="55" customFormat="false" ht="15" hidden="false" customHeight="true" outlineLevel="0" collapsed="false">
      <c r="A55" s="13" t="s">
        <v>301</v>
      </c>
      <c r="B55" s="13" t="n">
        <v>0</v>
      </c>
      <c r="C55" s="13" t="n">
        <f aca="false">10-B55</f>
        <v>10</v>
      </c>
      <c r="D55" s="14" t="n">
        <f aca="false">C55/10</f>
        <v>1</v>
      </c>
      <c r="E55" s="13" t="n">
        <v>0</v>
      </c>
    </row>
    <row r="56" customFormat="false" ht="15" hidden="false" customHeight="true" outlineLevel="0" collapsed="false">
      <c r="A56" s="13" t="s">
        <v>305</v>
      </c>
      <c r="B56" s="13" t="n">
        <v>0</v>
      </c>
      <c r="C56" s="13" t="n">
        <f aca="false">10-B56</f>
        <v>10</v>
      </c>
      <c r="D56" s="14" t="n">
        <f aca="false">C56/10</f>
        <v>1</v>
      </c>
      <c r="E56" s="13" t="n">
        <v>0</v>
      </c>
    </row>
    <row r="57" customFormat="false" ht="15" hidden="false" customHeight="true" outlineLevel="0" collapsed="false">
      <c r="A57" s="13" t="s">
        <v>309</v>
      </c>
      <c r="B57" s="13" t="n">
        <v>0</v>
      </c>
      <c r="C57" s="13" t="n">
        <f aca="false">10-B57</f>
        <v>10</v>
      </c>
      <c r="D57" s="14" t="n">
        <f aca="false">C57/10</f>
        <v>1</v>
      </c>
      <c r="E57" s="13" t="n">
        <v>0</v>
      </c>
    </row>
    <row r="58" customFormat="false" ht="15" hidden="false" customHeight="true" outlineLevel="0" collapsed="false">
      <c r="A58" s="13" t="s">
        <v>313</v>
      </c>
      <c r="B58" s="13" t="n">
        <v>0</v>
      </c>
      <c r="C58" s="13" t="n">
        <f aca="false">10-B58</f>
        <v>10</v>
      </c>
      <c r="D58" s="14" t="n">
        <f aca="false">C58/10</f>
        <v>1</v>
      </c>
      <c r="E58" s="13" t="n">
        <v>0</v>
      </c>
    </row>
    <row r="59" customFormat="false" ht="15" hidden="false" customHeight="true" outlineLevel="0" collapsed="false">
      <c r="A59" s="13" t="s">
        <v>317</v>
      </c>
      <c r="B59" s="13" t="n">
        <v>0</v>
      </c>
      <c r="C59" s="13" t="n">
        <f aca="false">10-B59</f>
        <v>10</v>
      </c>
      <c r="D59" s="14" t="n">
        <f aca="false">C59/10</f>
        <v>1</v>
      </c>
      <c r="E59" s="13" t="n">
        <v>0</v>
      </c>
    </row>
    <row r="60" customFormat="false" ht="15" hidden="false" customHeight="true" outlineLevel="0" collapsed="false">
      <c r="A60" s="13" t="s">
        <v>321</v>
      </c>
      <c r="B60" s="13" t="n">
        <v>0</v>
      </c>
      <c r="C60" s="13" t="n">
        <f aca="false">10-B60</f>
        <v>10</v>
      </c>
      <c r="D60" s="14" t="n">
        <f aca="false">C60/10</f>
        <v>1</v>
      </c>
      <c r="E60" s="13" t="n">
        <v>0</v>
      </c>
    </row>
    <row r="61" customFormat="false" ht="15" hidden="false" customHeight="true" outlineLevel="0" collapsed="false">
      <c r="A61" s="13" t="s">
        <v>325</v>
      </c>
      <c r="B61" s="13" t="n">
        <v>0</v>
      </c>
      <c r="C61" s="13" t="n">
        <f aca="false">10-B61</f>
        <v>10</v>
      </c>
      <c r="D61" s="14" t="n">
        <f aca="false">C61/10</f>
        <v>1</v>
      </c>
      <c r="E61" s="13" t="n">
        <v>0</v>
      </c>
    </row>
    <row r="62" customFormat="false" ht="15" hidden="false" customHeight="true" outlineLevel="0" collapsed="false">
      <c r="A62" s="13" t="s">
        <v>329</v>
      </c>
      <c r="B62" s="13" t="n">
        <v>0</v>
      </c>
      <c r="C62" s="13" t="n">
        <f aca="false">10-B62</f>
        <v>10</v>
      </c>
      <c r="D62" s="14" t="n">
        <f aca="false">C62/10</f>
        <v>1</v>
      </c>
      <c r="E62" s="13" t="n">
        <v>0</v>
      </c>
    </row>
    <row r="63" customFormat="false" ht="15" hidden="false" customHeight="true" outlineLevel="0" collapsed="false">
      <c r="A63" s="13" t="s">
        <v>333</v>
      </c>
      <c r="B63" s="13" t="n">
        <v>0</v>
      </c>
      <c r="C63" s="13" t="n">
        <f aca="false">10-B63</f>
        <v>10</v>
      </c>
      <c r="D63" s="14" t="n">
        <f aca="false">C63/10</f>
        <v>1</v>
      </c>
      <c r="E63" s="13" t="n">
        <v>0</v>
      </c>
    </row>
    <row r="65" customFormat="false" ht="15" hidden="false" customHeight="true" outlineLevel="0" collapsed="false">
      <c r="A65" s="15" t="s">
        <v>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5" hidden="false" customHeight="true" outlineLevel="0" collapsed="false">
      <c r="A1" s="16" t="s">
        <v>506</v>
      </c>
    </row>
    <row r="2" customFormat="false" ht="15" hidden="false" customHeight="true" outlineLevel="0" collapsed="false">
      <c r="A2" s="17" t="s">
        <v>507</v>
      </c>
    </row>
    <row r="3" customFormat="false" ht="15" hidden="false" customHeight="true" outlineLevel="0" collapsed="false">
      <c r="A3" s="17" t="s">
        <v>508</v>
      </c>
    </row>
    <row r="4" customFormat="false" ht="15" hidden="false" customHeight="true" outlineLevel="0" collapsed="false">
      <c r="A4" s="17" t="s">
        <v>509</v>
      </c>
    </row>
    <row r="5" customFormat="false" ht="15" hidden="false" customHeight="true" outlineLevel="0" collapsed="false">
      <c r="A5" s="17" t="s">
        <v>510</v>
      </c>
    </row>
    <row r="6" customFormat="false" ht="23.25" hidden="false" customHeight="true" outlineLevel="0" collapsed="false">
      <c r="A6" s="17" t="s">
        <v>511</v>
      </c>
    </row>
    <row r="7" customFormat="false" ht="23.85" hidden="false" customHeight="false" outlineLevel="0" collapsed="false">
      <c r="A7" s="17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60"/>
    <col collapsed="false" customWidth="true" hidden="false" outlineLevel="0" max="3" min="3" style="1" width="80"/>
  </cols>
  <sheetData>
    <row r="1" customFormat="false" ht="15" hidden="false" customHeight="true" outlineLevel="0" collapsed="false">
      <c r="A1" s="18" t="s">
        <v>513</v>
      </c>
      <c r="B1" s="18" t="s">
        <v>514</v>
      </c>
      <c r="C1" s="18" t="s">
        <v>515</v>
      </c>
    </row>
    <row r="2" customFormat="false" ht="15" hidden="false" customHeight="true" outlineLevel="0" collapsed="false">
      <c r="A2" s="5" t="s">
        <v>516</v>
      </c>
      <c r="B2" s="5" t="s">
        <v>91</v>
      </c>
      <c r="C2" s="5" t="s">
        <v>517</v>
      </c>
    </row>
    <row r="3" customFormat="false" ht="15" hidden="false" customHeight="true" outlineLevel="0" collapsed="false">
      <c r="A3" s="5" t="s">
        <v>518</v>
      </c>
      <c r="B3" s="5" t="s">
        <v>251</v>
      </c>
      <c r="C3" s="5" t="s">
        <v>519</v>
      </c>
    </row>
    <row r="4" customFormat="false" ht="23.25" hidden="false" customHeight="true" outlineLevel="0" collapsed="false">
      <c r="A4" s="5" t="s">
        <v>520</v>
      </c>
      <c r="B4" s="5" t="s">
        <v>521</v>
      </c>
      <c r="C4" s="5" t="s">
        <v>522</v>
      </c>
    </row>
    <row r="5" customFormat="false" ht="15" hidden="false" customHeight="true" outlineLevel="0" collapsed="false">
      <c r="A5" s="5" t="s">
        <v>523</v>
      </c>
      <c r="B5" s="5" t="s">
        <v>206</v>
      </c>
      <c r="C5" s="5" t="s">
        <v>524</v>
      </c>
    </row>
    <row r="6" customFormat="false" ht="15" hidden="false" customHeight="true" outlineLevel="0" collapsed="false">
      <c r="A6" s="5" t="s">
        <v>525</v>
      </c>
      <c r="B6" s="5" t="s">
        <v>335</v>
      </c>
      <c r="C6" s="5" t="s">
        <v>526</v>
      </c>
    </row>
    <row r="8" customFormat="false" ht="60" hidden="false" customHeight="true" outlineLevel="0" collapsed="false">
      <c r="A8" s="19" t="s">
        <v>527</v>
      </c>
      <c r="B8" s="19"/>
      <c r="C8" s="19"/>
    </row>
  </sheetData>
  <mergeCells count="1"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0"/>
  </cols>
  <sheetData>
    <row r="1" customFormat="false" ht="15" hidden="false" customHeight="false" outlineLevel="0" collapsed="false">
      <c r="A1" s="18" t="s">
        <v>528</v>
      </c>
      <c r="B1" s="18" t="s">
        <v>529</v>
      </c>
      <c r="C1" s="18" t="s">
        <v>530</v>
      </c>
    </row>
    <row r="2" customFormat="false" ht="15" hidden="false" customHeight="false" outlineLevel="0" collapsed="false">
      <c r="A2" s="5" t="s">
        <v>42</v>
      </c>
      <c r="B2" s="5" t="n">
        <f aca="false">COUNTIF('Data Dictionary'!N2:N200,A2)</f>
        <v>23</v>
      </c>
      <c r="C2" s="5" t="n">
        <f aca="false">COUNTIF('Sub-fields Observed'!F2:F200,A2)</f>
        <v>4</v>
      </c>
    </row>
    <row r="3" customFormat="false" ht="15" hidden="false" customHeight="false" outlineLevel="0" collapsed="false">
      <c r="A3" s="5" t="s">
        <v>25</v>
      </c>
      <c r="B3" s="5" t="n">
        <f aca="false">COUNTIF('Data Dictionary'!N2:N200,A3)</f>
        <v>25</v>
      </c>
      <c r="C3" s="5" t="n">
        <f aca="false">COUNTIF('Sub-fields Observed'!F2:F200,A3)</f>
        <v>7</v>
      </c>
    </row>
    <row r="4" customFormat="false" ht="15" hidden="false" customHeight="false" outlineLevel="0" collapsed="false">
      <c r="A4" s="5" t="s">
        <v>34</v>
      </c>
      <c r="B4" s="5" t="n">
        <f aca="false">COUNTIF('Data Dictionary'!N2:N200,A4)</f>
        <v>14</v>
      </c>
      <c r="C4" s="5" t="n">
        <f aca="false">COUNTIF('Sub-fields Observed'!F2:F200,A4)</f>
        <v>13</v>
      </c>
    </row>
    <row r="5" customFormat="false" ht="15" hidden="false" customHeight="false" outlineLevel="0" collapsed="false">
      <c r="A5" s="5" t="s">
        <v>531</v>
      </c>
      <c r="B5" s="5" t="n">
        <f aca="false">SUM(B2:B4)</f>
        <v>62</v>
      </c>
      <c r="C5" s="5" t="n">
        <f aca="false">SUM(C2:C4)</f>
        <v>24</v>
      </c>
    </row>
    <row r="6" customFormat="false" ht="15" hidden="false" customHeight="false" outlineLevel="0" collapsed="false">
      <c r="A6" s="5"/>
      <c r="B6" s="5"/>
      <c r="C6" s="5"/>
    </row>
    <row r="7" customFormat="false" ht="79.5" hidden="false" customHeight="true" outlineLevel="0" collapsed="false">
      <c r="A7" s="5" t="s">
        <v>532</v>
      </c>
      <c r="B7" s="5"/>
      <c r="C7" s="5"/>
    </row>
  </sheetData>
  <mergeCells count="1">
    <mergeCell ref="A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2026-10-04T18:33:41Z</dcterms:created>
  <dc:creator>openpyxl</dc:creator>
  <dc:description/>
  <dc:language>en-US</dc:language>
  <cp:lastModifiedBy/>
  <dcterms:modified xsi:type="dcterms:W3CDTF">2026-10-05T06:06:03Z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